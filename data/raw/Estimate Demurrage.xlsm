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0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glowgroup-my.sharepoint.com/personal/tippayaporn_s_gpscgroup_com/Documents/Microsoft Teams Chat Files/"/>
    </mc:Choice>
  </mc:AlternateContent>
  <xr:revisionPtr revIDLastSave="16" documentId="13_ncr:1_{AEE28A2C-DAAB-44E3-9F0F-D04DBDA1DAB5}" xr6:coauthVersionLast="47" xr6:coauthVersionMax="47" xr10:uidLastSave="{BF6A787A-74D7-47FE-B6C6-76DE7F0ED6C5}"/>
  <bookViews>
    <workbookView xWindow="-108" yWindow="-108" windowWidth="23256" windowHeight="12696" activeTab="1" xr2:uid="{E4EA7EB7-CBD9-42D6-A327-CB6DF9290856}"/>
  </bookViews>
  <sheets>
    <sheet name="Assumption" sheetId="1" r:id="rId1"/>
    <sheet name="Simulation" sheetId="2" r:id="rId2"/>
    <sheet name="Summary" sheetId="3" r:id="rId3"/>
  </sheets>
  <definedNames>
    <definedName name="_xleta.AVERAGE" hidden="1" xlm="1">#NAME?</definedName>
    <definedName name="_xleta.MAX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3" l="1"/>
  <c r="I2" i="3" s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C2" i="3" l="1"/>
  <c r="I3" i="3" s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I4" i="3" l="1"/>
  <c r="C3" i="3"/>
  <c r="D2" i="3"/>
  <c r="D3" i="3"/>
  <c r="D4" i="3"/>
  <c r="E4" i="3"/>
  <c r="C4" i="3"/>
  <c r="E3" i="3"/>
  <c r="E2" i="3"/>
  <c r="E13" i="1"/>
  <c r="E14" i="1"/>
  <c r="E15" i="1"/>
  <c r="E12" i="1"/>
</calcChain>
</file>

<file path=xl/sharedStrings.xml><?xml version="1.0" encoding="utf-8"?>
<sst xmlns="http://schemas.openxmlformats.org/spreadsheetml/2006/main" count="154" uniqueCount="47">
  <si>
    <t>Assumption</t>
  </si>
  <si>
    <t>ค่าเสียเวลาเรือ</t>
  </si>
  <si>
    <t>Parameter</t>
  </si>
  <si>
    <t>Unit</t>
  </si>
  <si>
    <t>Value</t>
  </si>
  <si>
    <t>Number of Shipment</t>
  </si>
  <si>
    <t>SM#</t>
  </si>
  <si>
    <t>ทุกสัญญามีกี่ Shipment</t>
  </si>
  <si>
    <t>Min discharge</t>
  </si>
  <si>
    <t>Days</t>
  </si>
  <si>
    <t>Max discharge</t>
  </si>
  <si>
    <t>Discharge Allowance</t>
  </si>
  <si>
    <t>มาตามสัญญา กี่ตันต่อวัน (General 22,000)</t>
  </si>
  <si>
    <t>ช่วงเวลาที่เรือจะเข้าท่า (ขึ้นอยู่กับสัญญา 5 หรือ 7 วัน)</t>
  </si>
  <si>
    <t>สิ้นสุด Period</t>
  </si>
  <si>
    <t>Shipment</t>
  </si>
  <si>
    <t>Site</t>
  </si>
  <si>
    <t>Window start</t>
  </si>
  <si>
    <t>Window end</t>
  </si>
  <si>
    <t>Number of window</t>
  </si>
  <si>
    <t>SPP3</t>
  </si>
  <si>
    <t>Gh-1</t>
  </si>
  <si>
    <t>Average Discharge</t>
  </si>
  <si>
    <t>Total dem</t>
  </si>
  <si>
    <t>Gh-1 dem</t>
  </si>
  <si>
    <t>SPP3 dem</t>
  </si>
  <si>
    <t>Ship Arrival</t>
  </si>
  <si>
    <t>NOR+12</t>
  </si>
  <si>
    <t>Commence discharge</t>
  </si>
  <si>
    <t>Actual Discharging days</t>
  </si>
  <si>
    <t>Finish discharge</t>
  </si>
  <si>
    <t>Loading Allowance</t>
  </si>
  <si>
    <t>Demurrage day</t>
  </si>
  <si>
    <t>เกิน (มีค่าปรับต่อวัน) มีระบุในสัญญาของแต่ละลำ ว่าค่าปรับกี่เหรียญต่อวัน</t>
  </si>
  <si>
    <t>Total</t>
  </si>
  <si>
    <t>SD</t>
  </si>
  <si>
    <t>AVG</t>
  </si>
  <si>
    <t xml:space="preserve">95% confident </t>
  </si>
  <si>
    <t>MIN</t>
  </si>
  <si>
    <t>95% min</t>
  </si>
  <si>
    <t>MAX</t>
  </si>
  <si>
    <t>95% max</t>
  </si>
  <si>
    <t>Trial</t>
  </si>
  <si>
    <t>Average discharge day</t>
  </si>
  <si>
    <t>Total Demurrage</t>
  </si>
  <si>
    <t>Gh-1 Demurrage</t>
  </si>
  <si>
    <t>SPP3 Demurrage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</si>
</sst>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/mmmm/yyyy\ h:mm"/>
  </numFmts>
  <fonts count="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i/>
      <sz val="11"/>
      <color theme="0" tint="-0.499984740745262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20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3" borderId="1" xfId="0" applyFill="1" applyBorder="1"/>
    <xf numFmtId="0" fontId="1" fillId="2" borderId="0" xfId="0" applyFont="1" applyFill="1"/>
    <xf numFmtId="0" fontId="0" fillId="2" borderId="1" xfId="0" applyFill="1" applyBorder="1" applyAlignment="1">
      <alignment horizontal="center"/>
    </xf>
    <xf numFmtId="15" fontId="0" fillId="2" borderId="1" xfId="0" applyNumberFormat="1" applyFill="1" applyBorder="1" applyAlignment="1">
      <alignment horizontal="center"/>
    </xf>
    <xf numFmtId="0" fontId="0" fillId="0" borderId="1" xfId="0" applyBorder="1"/>
    <xf numFmtId="2" fontId="0" fillId="0" borderId="0" xfId="0" applyNumberFormat="1"/>
    <xf numFmtId="164" fontId="2" fillId="0" borderId="1" xfId="0" applyNumberFormat="1" applyFont="1" applyBorder="1" applyAlignment="1">
      <alignment horizontal="center"/>
    </xf>
    <xf numFmtId="2" fontId="0" fillId="0" borderId="1" xfId="0" applyNumberFormat="1" applyBorder="1"/>
    <xf numFmtId="0" fontId="0" fillId="2" borderId="2" xfId="0" applyFill="1" applyBorder="1" applyAlignment="1">
      <alignment horizontal="center"/>
    </xf>
    <xf numFmtId="164" fontId="0" fillId="0" borderId="0" xfId="0" applyNumberFormat="1"/>
    <xf numFmtId="15" fontId="0" fillId="2" borderId="0" xfId="0" applyNumberFormat="1" applyFill="1"/>
    <xf numFmtId="0" fontId="5" fillId="0" borderId="0" xfId="0" applyFont="1" applyAlignment="1">
      <alignment horizontal="center"/>
    </xf>
    <xf numFmtId="1" fontId="5" fillId="0" borderId="0" xfId="0" applyNumberFormat="1" applyFont="1" applyAlignment="1">
      <alignment horizontal="right"/>
    </xf>
    <xf numFmtId="43" fontId="5" fillId="0" borderId="0" xfId="1" applyFont="1" applyAlignment="1">
      <alignment horizontal="center"/>
    </xf>
    <xf numFmtId="43" fontId="5" fillId="0" borderId="0" xfId="0" applyNumberFormat="1" applyFont="1" applyAlignment="1">
      <alignment horizontal="right"/>
    </xf>
    <xf numFmtId="0" fontId="6" fillId="2" borderId="0" xfId="0" applyFont="1" applyFill="1" applyAlignment="1">
      <alignment horizontal="center" vertical="center" wrapText="1"/>
    </xf>
    <xf numFmtId="15" fontId="0" fillId="3" borderId="1" xfId="0" applyNumberForma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2</xdr:row>
      <xdr:rowOff>28575</xdr:rowOff>
    </xdr:from>
    <xdr:to>
      <xdr:col>8</xdr:col>
      <xdr:colOff>438150</xdr:colOff>
      <xdr:row>5</xdr:row>
      <xdr:rowOff>180975</xdr:rowOff>
    </xdr:to>
    <xdr:sp macro="[0]!RunSimulation300" textlink="">
      <xdr:nvSpPr>
        <xdr:cNvPr id="2" name="Rectangle 1">
          <a:extLst>
            <a:ext uri="{FF2B5EF4-FFF2-40B4-BE49-F238E27FC236}">
              <a16:creationId xmlns:a16="http://schemas.microsoft.com/office/drawing/2014/main" id="{BE384507-58F6-0358-ED19-2B363C7504AC}"/>
            </a:ext>
          </a:extLst>
        </xdr:cNvPr>
        <xdr:cNvSpPr/>
      </xdr:nvSpPr>
      <xdr:spPr>
        <a:xfrm>
          <a:off x="5353050" y="409575"/>
          <a:ext cx="2009775" cy="7239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89484-4C5F-43CA-A58D-2FFD014EF179}">
  <sheetPr codeName="Sheet1"/>
  <dimension ref="B2:J61"/>
  <sheetViews>
    <sheetView topLeftCell="A63" workbookViewId="0">
      <selection activeCell="L12" sqref="L12"/>
    </sheetView>
  </sheetViews>
  <sheetFormatPr defaultColWidth="9.28515625" defaultRowHeight="14.45"/>
  <cols>
    <col min="1" max="1" width="9.28515625" style="1"/>
    <col min="2" max="2" width="19.7109375" style="1" customWidth="1"/>
    <col min="3" max="3" width="11.28515625" style="1" customWidth="1"/>
    <col min="4" max="4" width="14" style="1" customWidth="1"/>
    <col min="5" max="5" width="13" style="1" customWidth="1"/>
    <col min="6" max="6" width="18.42578125" style="1" customWidth="1"/>
    <col min="7" max="9" width="9.28515625" style="1"/>
    <col min="10" max="10" width="12.5703125" style="1" customWidth="1"/>
    <col min="11" max="16384" width="9.28515625" style="1"/>
  </cols>
  <sheetData>
    <row r="2" spans="2:10">
      <c r="B2" s="4" t="s">
        <v>0</v>
      </c>
      <c r="C2" s="1" t="s">
        <v>1</v>
      </c>
    </row>
    <row r="4" spans="2:10">
      <c r="B4" s="2" t="s">
        <v>2</v>
      </c>
      <c r="C4" s="2" t="s">
        <v>3</v>
      </c>
      <c r="D4" s="2" t="s">
        <v>4</v>
      </c>
    </row>
    <row r="5" spans="2:10">
      <c r="B5" s="2" t="s">
        <v>5</v>
      </c>
      <c r="C5" s="2" t="s">
        <v>6</v>
      </c>
      <c r="D5" s="3">
        <v>50</v>
      </c>
      <c r="E5" s="1" t="s">
        <v>7</v>
      </c>
    </row>
    <row r="6" spans="2:10">
      <c r="B6" s="2" t="s">
        <v>8</v>
      </c>
      <c r="C6" s="2" t="s">
        <v>9</v>
      </c>
      <c r="D6" s="3">
        <v>2</v>
      </c>
    </row>
    <row r="7" spans="2:10">
      <c r="B7" s="2" t="s">
        <v>10</v>
      </c>
      <c r="C7" s="2" t="s">
        <v>9</v>
      </c>
      <c r="D7" s="3">
        <v>2.9</v>
      </c>
    </row>
    <row r="8" spans="2:10">
      <c r="B8" s="2" t="s">
        <v>11</v>
      </c>
      <c r="C8" s="2" t="s">
        <v>9</v>
      </c>
      <c r="D8" s="3">
        <v>2.5</v>
      </c>
      <c r="E8" s="1" t="s">
        <v>12</v>
      </c>
    </row>
    <row r="10" spans="2:10" ht="36">
      <c r="D10" s="18" t="s">
        <v>13</v>
      </c>
      <c r="E10" s="18" t="s">
        <v>14</v>
      </c>
    </row>
    <row r="11" spans="2:10">
      <c r="B11" s="5" t="s">
        <v>15</v>
      </c>
      <c r="C11" s="5" t="s">
        <v>16</v>
      </c>
      <c r="D11" s="5" t="s">
        <v>17</v>
      </c>
      <c r="E11" s="5" t="s">
        <v>18</v>
      </c>
      <c r="F11" s="5" t="s">
        <v>19</v>
      </c>
    </row>
    <row r="12" spans="2:10">
      <c r="B12" s="5">
        <v>1</v>
      </c>
      <c r="C12" s="11" t="s">
        <v>20</v>
      </c>
      <c r="D12" s="6">
        <v>45667</v>
      </c>
      <c r="E12" s="6">
        <f t="shared" ref="E12:E43" si="0">D12+F12-1</f>
        <v>45676</v>
      </c>
      <c r="F12" s="5">
        <v>10</v>
      </c>
      <c r="J12" s="13"/>
    </row>
    <row r="13" spans="2:10">
      <c r="B13" s="5">
        <v>2</v>
      </c>
      <c r="C13" s="11" t="s">
        <v>21</v>
      </c>
      <c r="D13" s="19">
        <v>45673</v>
      </c>
      <c r="E13" s="19">
        <f t="shared" si="0"/>
        <v>45682</v>
      </c>
      <c r="F13" s="5">
        <v>10</v>
      </c>
      <c r="J13" s="13"/>
    </row>
    <row r="14" spans="2:10">
      <c r="B14" s="5">
        <v>3</v>
      </c>
      <c r="C14" s="11" t="s">
        <v>21</v>
      </c>
      <c r="D14" s="6">
        <v>45679</v>
      </c>
      <c r="E14" s="6">
        <f t="shared" si="0"/>
        <v>45688</v>
      </c>
      <c r="F14" s="5">
        <v>10</v>
      </c>
      <c r="J14" s="13"/>
    </row>
    <row r="15" spans="2:10">
      <c r="B15" s="5">
        <v>4</v>
      </c>
      <c r="C15" s="11" t="s">
        <v>21</v>
      </c>
      <c r="D15" s="6">
        <v>45687</v>
      </c>
      <c r="E15" s="6">
        <f t="shared" si="0"/>
        <v>45696</v>
      </c>
      <c r="F15" s="5">
        <v>10</v>
      </c>
      <c r="J15" s="13"/>
    </row>
    <row r="16" spans="2:10">
      <c r="B16" s="5">
        <v>5</v>
      </c>
      <c r="C16" s="11" t="s">
        <v>20</v>
      </c>
      <c r="D16" s="6">
        <v>45690</v>
      </c>
      <c r="E16" s="6">
        <f t="shared" si="0"/>
        <v>45699</v>
      </c>
      <c r="F16" s="5">
        <v>10</v>
      </c>
      <c r="J16" s="13"/>
    </row>
    <row r="17" spans="2:10">
      <c r="B17" s="5">
        <v>6</v>
      </c>
      <c r="C17" s="11" t="s">
        <v>21</v>
      </c>
      <c r="D17" s="6">
        <v>45694</v>
      </c>
      <c r="E17" s="6">
        <f t="shared" si="0"/>
        <v>45703</v>
      </c>
      <c r="F17" s="5">
        <v>10</v>
      </c>
      <c r="J17" s="13"/>
    </row>
    <row r="18" spans="2:10">
      <c r="B18" s="5">
        <v>7</v>
      </c>
      <c r="C18" s="11" t="s">
        <v>21</v>
      </c>
      <c r="D18" s="6">
        <v>45699</v>
      </c>
      <c r="E18" s="6">
        <f t="shared" si="0"/>
        <v>45708</v>
      </c>
      <c r="F18" s="5">
        <v>10</v>
      </c>
      <c r="J18" s="13"/>
    </row>
    <row r="19" spans="2:10">
      <c r="B19" s="5">
        <v>8</v>
      </c>
      <c r="C19" s="11" t="s">
        <v>20</v>
      </c>
      <c r="D19" s="6">
        <v>45704</v>
      </c>
      <c r="E19" s="6">
        <f t="shared" si="0"/>
        <v>45713</v>
      </c>
      <c r="F19" s="5">
        <v>10</v>
      </c>
      <c r="J19" s="13"/>
    </row>
    <row r="20" spans="2:10">
      <c r="B20" s="5">
        <v>9</v>
      </c>
      <c r="C20" s="11" t="s">
        <v>21</v>
      </c>
      <c r="D20" s="6">
        <v>45714</v>
      </c>
      <c r="E20" s="6">
        <f t="shared" si="0"/>
        <v>45723</v>
      </c>
      <c r="F20" s="5">
        <v>10</v>
      </c>
      <c r="J20" s="13"/>
    </row>
    <row r="21" spans="2:10">
      <c r="B21" s="5">
        <v>10</v>
      </c>
      <c r="C21" s="11" t="s">
        <v>20</v>
      </c>
      <c r="D21" s="6">
        <v>45735</v>
      </c>
      <c r="E21" s="6">
        <f t="shared" si="0"/>
        <v>45744</v>
      </c>
      <c r="F21" s="5">
        <v>10</v>
      </c>
      <c r="J21" s="13"/>
    </row>
    <row r="22" spans="2:10">
      <c r="B22" s="5">
        <v>11</v>
      </c>
      <c r="C22" s="11" t="s">
        <v>21</v>
      </c>
      <c r="D22" s="6">
        <v>45755</v>
      </c>
      <c r="E22" s="6">
        <f t="shared" si="0"/>
        <v>45764</v>
      </c>
      <c r="F22" s="5">
        <v>10</v>
      </c>
      <c r="J22" s="13"/>
    </row>
    <row r="23" spans="2:10">
      <c r="B23" s="5">
        <v>12</v>
      </c>
      <c r="C23" s="11" t="s">
        <v>21</v>
      </c>
      <c r="D23" s="6">
        <v>45761</v>
      </c>
      <c r="E23" s="6">
        <f t="shared" si="0"/>
        <v>45770</v>
      </c>
      <c r="F23" s="5">
        <v>10</v>
      </c>
      <c r="J23" s="13"/>
    </row>
    <row r="24" spans="2:10">
      <c r="B24" s="5">
        <v>13</v>
      </c>
      <c r="C24" s="11" t="s">
        <v>20</v>
      </c>
      <c r="D24" s="6">
        <v>45763</v>
      </c>
      <c r="E24" s="6">
        <f t="shared" si="0"/>
        <v>45772</v>
      </c>
      <c r="F24" s="5">
        <v>10</v>
      </c>
      <c r="J24" s="13"/>
    </row>
    <row r="25" spans="2:10">
      <c r="B25" s="5">
        <v>14</v>
      </c>
      <c r="C25" s="11" t="s">
        <v>21</v>
      </c>
      <c r="D25" s="6">
        <v>45775</v>
      </c>
      <c r="E25" s="6">
        <f t="shared" si="0"/>
        <v>45784</v>
      </c>
      <c r="F25" s="5">
        <v>10</v>
      </c>
      <c r="J25" s="13"/>
    </row>
    <row r="26" spans="2:10">
      <c r="B26" s="5">
        <v>15</v>
      </c>
      <c r="C26" s="11" t="s">
        <v>20</v>
      </c>
      <c r="D26" s="6">
        <v>45779</v>
      </c>
      <c r="E26" s="6">
        <f t="shared" si="0"/>
        <v>45788</v>
      </c>
      <c r="F26" s="5">
        <v>10</v>
      </c>
      <c r="J26" s="13"/>
    </row>
    <row r="27" spans="2:10">
      <c r="B27" s="5">
        <v>16</v>
      </c>
      <c r="C27" s="11" t="s">
        <v>21</v>
      </c>
      <c r="D27" s="6">
        <v>45791</v>
      </c>
      <c r="E27" s="6">
        <f t="shared" si="0"/>
        <v>45800</v>
      </c>
      <c r="F27" s="5">
        <v>10</v>
      </c>
      <c r="J27" s="13"/>
    </row>
    <row r="28" spans="2:10">
      <c r="B28" s="5">
        <v>17</v>
      </c>
      <c r="C28" s="11" t="s">
        <v>21</v>
      </c>
      <c r="D28" s="6">
        <v>45797</v>
      </c>
      <c r="E28" s="6">
        <f t="shared" si="0"/>
        <v>45806</v>
      </c>
      <c r="F28" s="5">
        <v>10</v>
      </c>
      <c r="J28" s="13"/>
    </row>
    <row r="29" spans="2:10">
      <c r="B29" s="5">
        <v>18</v>
      </c>
      <c r="C29" s="11" t="s">
        <v>21</v>
      </c>
      <c r="D29" s="6">
        <v>45799</v>
      </c>
      <c r="E29" s="6">
        <f t="shared" si="0"/>
        <v>45808</v>
      </c>
      <c r="F29" s="5">
        <v>10</v>
      </c>
      <c r="J29" s="13"/>
    </row>
    <row r="30" spans="2:10">
      <c r="B30" s="5">
        <v>19</v>
      </c>
      <c r="C30" s="11" t="s">
        <v>21</v>
      </c>
      <c r="D30" s="6">
        <v>45806</v>
      </c>
      <c r="E30" s="6">
        <f t="shared" si="0"/>
        <v>45815</v>
      </c>
      <c r="F30" s="5">
        <v>10</v>
      </c>
      <c r="J30" s="13"/>
    </row>
    <row r="31" spans="2:10">
      <c r="B31" s="5">
        <v>20</v>
      </c>
      <c r="C31" s="11" t="s">
        <v>21</v>
      </c>
      <c r="D31" s="6">
        <v>45809</v>
      </c>
      <c r="E31" s="6">
        <f t="shared" si="0"/>
        <v>45818</v>
      </c>
      <c r="F31" s="5">
        <v>10</v>
      </c>
      <c r="J31" s="13"/>
    </row>
    <row r="32" spans="2:10">
      <c r="B32" s="5">
        <v>21</v>
      </c>
      <c r="C32" s="11" t="s">
        <v>21</v>
      </c>
      <c r="D32" s="6">
        <v>45816</v>
      </c>
      <c r="E32" s="6">
        <f t="shared" si="0"/>
        <v>45825</v>
      </c>
      <c r="F32" s="5">
        <v>10</v>
      </c>
      <c r="J32" s="13"/>
    </row>
    <row r="33" spans="2:10">
      <c r="B33" s="5">
        <v>22</v>
      </c>
      <c r="C33" s="11" t="s">
        <v>20</v>
      </c>
      <c r="D33" s="6">
        <v>45817</v>
      </c>
      <c r="E33" s="6">
        <f t="shared" si="0"/>
        <v>45826</v>
      </c>
      <c r="F33" s="5">
        <v>10</v>
      </c>
      <c r="J33" s="13"/>
    </row>
    <row r="34" spans="2:10">
      <c r="B34" s="5">
        <v>23</v>
      </c>
      <c r="C34" s="11" t="s">
        <v>21</v>
      </c>
      <c r="D34" s="6">
        <v>45823</v>
      </c>
      <c r="E34" s="6">
        <f t="shared" si="0"/>
        <v>45832</v>
      </c>
      <c r="F34" s="5">
        <v>10</v>
      </c>
      <c r="J34" s="13"/>
    </row>
    <row r="35" spans="2:10">
      <c r="B35" s="5">
        <v>24</v>
      </c>
      <c r="C35" s="11" t="s">
        <v>21</v>
      </c>
      <c r="D35" s="6">
        <v>45839</v>
      </c>
      <c r="E35" s="6">
        <f t="shared" si="0"/>
        <v>45848</v>
      </c>
      <c r="F35" s="5">
        <v>10</v>
      </c>
      <c r="J35" s="13"/>
    </row>
    <row r="36" spans="2:10">
      <c r="B36" s="5">
        <v>25</v>
      </c>
      <c r="C36" s="11" t="s">
        <v>21</v>
      </c>
      <c r="D36" s="6">
        <v>45846</v>
      </c>
      <c r="E36" s="6">
        <f t="shared" si="0"/>
        <v>45855</v>
      </c>
      <c r="F36" s="5">
        <v>10</v>
      </c>
      <c r="J36" s="13"/>
    </row>
    <row r="37" spans="2:10">
      <c r="B37" s="5">
        <v>26</v>
      </c>
      <c r="C37" s="11" t="s">
        <v>21</v>
      </c>
      <c r="D37" s="6">
        <v>45852</v>
      </c>
      <c r="E37" s="6">
        <f t="shared" si="0"/>
        <v>45861</v>
      </c>
      <c r="F37" s="5">
        <v>10</v>
      </c>
      <c r="J37" s="13"/>
    </row>
    <row r="38" spans="2:10">
      <c r="B38" s="5">
        <v>27</v>
      </c>
      <c r="C38" s="11" t="s">
        <v>20</v>
      </c>
      <c r="D38" s="6">
        <v>45859</v>
      </c>
      <c r="E38" s="6">
        <f t="shared" si="0"/>
        <v>45868</v>
      </c>
      <c r="F38" s="5">
        <v>10</v>
      </c>
      <c r="J38" s="13"/>
    </row>
    <row r="39" spans="2:10">
      <c r="B39" s="5">
        <v>28</v>
      </c>
      <c r="C39" s="11" t="s">
        <v>21</v>
      </c>
      <c r="D39" s="6">
        <v>45860</v>
      </c>
      <c r="E39" s="6">
        <f t="shared" si="0"/>
        <v>45869</v>
      </c>
      <c r="F39" s="5">
        <v>10</v>
      </c>
      <c r="J39" s="13"/>
    </row>
    <row r="40" spans="2:10">
      <c r="B40" s="5">
        <v>29</v>
      </c>
      <c r="C40" s="11" t="s">
        <v>21</v>
      </c>
      <c r="D40" s="6">
        <v>45869</v>
      </c>
      <c r="E40" s="6">
        <f t="shared" si="0"/>
        <v>45878</v>
      </c>
      <c r="F40" s="5">
        <v>10</v>
      </c>
      <c r="J40" s="13"/>
    </row>
    <row r="41" spans="2:10">
      <c r="B41" s="5">
        <v>30</v>
      </c>
      <c r="C41" s="11" t="s">
        <v>21</v>
      </c>
      <c r="D41" s="6">
        <v>45875</v>
      </c>
      <c r="E41" s="6">
        <f t="shared" si="0"/>
        <v>45884</v>
      </c>
      <c r="F41" s="5">
        <v>10</v>
      </c>
      <c r="J41" s="13"/>
    </row>
    <row r="42" spans="2:10">
      <c r="B42" s="5">
        <v>31</v>
      </c>
      <c r="C42" s="11" t="s">
        <v>21</v>
      </c>
      <c r="D42" s="6">
        <v>45882</v>
      </c>
      <c r="E42" s="6">
        <f t="shared" si="0"/>
        <v>45891</v>
      </c>
      <c r="F42" s="5">
        <v>10</v>
      </c>
      <c r="J42" s="13"/>
    </row>
    <row r="43" spans="2:10">
      <c r="B43" s="5">
        <v>32</v>
      </c>
      <c r="C43" s="11" t="s">
        <v>21</v>
      </c>
      <c r="D43" s="6">
        <v>45888</v>
      </c>
      <c r="E43" s="6">
        <f t="shared" si="0"/>
        <v>45897</v>
      </c>
      <c r="F43" s="5">
        <v>10</v>
      </c>
      <c r="J43" s="13"/>
    </row>
    <row r="44" spans="2:10">
      <c r="B44" s="5">
        <v>33</v>
      </c>
      <c r="C44" s="11" t="s">
        <v>20</v>
      </c>
      <c r="D44" s="6">
        <v>45897</v>
      </c>
      <c r="E44" s="6">
        <f t="shared" ref="E44:E61" si="1">D44+F44-1</f>
        <v>45906</v>
      </c>
      <c r="F44" s="5">
        <v>10</v>
      </c>
      <c r="J44" s="13"/>
    </row>
    <row r="45" spans="2:10">
      <c r="B45" s="5">
        <v>34</v>
      </c>
      <c r="C45" s="11" t="s">
        <v>21</v>
      </c>
      <c r="D45" s="6">
        <v>45901</v>
      </c>
      <c r="E45" s="6">
        <f t="shared" si="1"/>
        <v>45910</v>
      </c>
      <c r="F45" s="5">
        <v>10</v>
      </c>
      <c r="J45" s="13"/>
    </row>
    <row r="46" spans="2:10">
      <c r="B46" s="5">
        <v>35</v>
      </c>
      <c r="C46" s="11" t="s">
        <v>21</v>
      </c>
      <c r="D46" s="6">
        <v>45910</v>
      </c>
      <c r="E46" s="6">
        <f t="shared" si="1"/>
        <v>45919</v>
      </c>
      <c r="F46" s="5">
        <v>10</v>
      </c>
      <c r="J46" s="13"/>
    </row>
    <row r="47" spans="2:10">
      <c r="B47" s="5">
        <v>36</v>
      </c>
      <c r="C47" s="11" t="s">
        <v>21</v>
      </c>
      <c r="D47" s="6">
        <v>45917</v>
      </c>
      <c r="E47" s="6">
        <f t="shared" si="1"/>
        <v>45926</v>
      </c>
      <c r="F47" s="5">
        <v>10</v>
      </c>
      <c r="J47" s="13"/>
    </row>
    <row r="48" spans="2:10">
      <c r="B48" s="5">
        <v>37</v>
      </c>
      <c r="C48" s="11" t="s">
        <v>21</v>
      </c>
      <c r="D48" s="6">
        <v>45923</v>
      </c>
      <c r="E48" s="6">
        <f t="shared" si="1"/>
        <v>45932</v>
      </c>
      <c r="F48" s="5">
        <v>10</v>
      </c>
      <c r="J48" s="13"/>
    </row>
    <row r="49" spans="2:10">
      <c r="B49" s="5">
        <v>38</v>
      </c>
      <c r="C49" s="11" t="s">
        <v>21</v>
      </c>
      <c r="D49" s="6">
        <v>45929</v>
      </c>
      <c r="E49" s="6">
        <f t="shared" si="1"/>
        <v>45938</v>
      </c>
      <c r="F49" s="5">
        <v>10</v>
      </c>
      <c r="J49" s="13"/>
    </row>
    <row r="50" spans="2:10">
      <c r="B50" s="5">
        <v>39</v>
      </c>
      <c r="C50" s="11" t="s">
        <v>20</v>
      </c>
      <c r="D50" s="6">
        <v>45935</v>
      </c>
      <c r="E50" s="6">
        <f t="shared" si="1"/>
        <v>45944</v>
      </c>
      <c r="F50" s="5">
        <v>10</v>
      </c>
      <c r="J50" s="13"/>
    </row>
    <row r="51" spans="2:10">
      <c r="B51" s="5">
        <v>40</v>
      </c>
      <c r="C51" s="11" t="s">
        <v>21</v>
      </c>
      <c r="D51" s="6">
        <v>45937</v>
      </c>
      <c r="E51" s="6">
        <f t="shared" si="1"/>
        <v>45946</v>
      </c>
      <c r="F51" s="5">
        <v>10</v>
      </c>
      <c r="J51" s="13"/>
    </row>
    <row r="52" spans="2:10">
      <c r="B52" s="5">
        <v>41</v>
      </c>
      <c r="C52" s="11" t="s">
        <v>21</v>
      </c>
      <c r="D52" s="6">
        <v>45943</v>
      </c>
      <c r="E52" s="6">
        <f t="shared" si="1"/>
        <v>45952</v>
      </c>
      <c r="F52" s="5">
        <v>10</v>
      </c>
      <c r="J52" s="13"/>
    </row>
    <row r="53" spans="2:10">
      <c r="B53" s="5">
        <v>42</v>
      </c>
      <c r="C53" s="11" t="s">
        <v>21</v>
      </c>
      <c r="D53" s="6">
        <v>45950</v>
      </c>
      <c r="E53" s="6">
        <f t="shared" si="1"/>
        <v>45959</v>
      </c>
      <c r="F53" s="5">
        <v>10</v>
      </c>
      <c r="J53" s="13"/>
    </row>
    <row r="54" spans="2:10">
      <c r="B54" s="5">
        <v>43</v>
      </c>
      <c r="C54" s="11" t="s">
        <v>21</v>
      </c>
      <c r="D54" s="6">
        <v>45961</v>
      </c>
      <c r="E54" s="6">
        <f t="shared" si="1"/>
        <v>45970</v>
      </c>
      <c r="F54" s="5">
        <v>10</v>
      </c>
      <c r="J54" s="13"/>
    </row>
    <row r="55" spans="2:10">
      <c r="B55" s="5">
        <v>44</v>
      </c>
      <c r="C55" s="11" t="s">
        <v>21</v>
      </c>
      <c r="D55" s="6">
        <v>45967</v>
      </c>
      <c r="E55" s="6">
        <f t="shared" si="1"/>
        <v>45976</v>
      </c>
      <c r="F55" s="5">
        <v>10</v>
      </c>
      <c r="J55" s="13"/>
    </row>
    <row r="56" spans="2:10">
      <c r="B56" s="5">
        <v>45</v>
      </c>
      <c r="C56" s="11" t="s">
        <v>21</v>
      </c>
      <c r="D56" s="6">
        <v>45973</v>
      </c>
      <c r="E56" s="6">
        <f t="shared" si="1"/>
        <v>45982</v>
      </c>
      <c r="F56" s="5">
        <v>10</v>
      </c>
      <c r="J56" s="13"/>
    </row>
    <row r="57" spans="2:10">
      <c r="B57" s="5">
        <v>46</v>
      </c>
      <c r="C57" s="11" t="s">
        <v>20</v>
      </c>
      <c r="D57" s="6">
        <v>45978</v>
      </c>
      <c r="E57" s="6">
        <f t="shared" si="1"/>
        <v>45987</v>
      </c>
      <c r="F57" s="5">
        <v>10</v>
      </c>
      <c r="J57" s="13"/>
    </row>
    <row r="58" spans="2:10">
      <c r="B58" s="5">
        <v>47</v>
      </c>
      <c r="C58" s="11" t="s">
        <v>21</v>
      </c>
      <c r="D58" s="6">
        <v>45980</v>
      </c>
      <c r="E58" s="6">
        <f t="shared" si="1"/>
        <v>45989</v>
      </c>
      <c r="F58" s="5">
        <v>10</v>
      </c>
      <c r="J58" s="13"/>
    </row>
    <row r="59" spans="2:10">
      <c r="B59" s="5">
        <v>48</v>
      </c>
      <c r="C59" s="11" t="s">
        <v>21</v>
      </c>
      <c r="D59" s="6">
        <v>45989</v>
      </c>
      <c r="E59" s="6">
        <f t="shared" si="1"/>
        <v>45998</v>
      </c>
      <c r="F59" s="5">
        <v>10</v>
      </c>
      <c r="J59" s="13"/>
    </row>
    <row r="60" spans="2:10">
      <c r="B60" s="5">
        <v>49</v>
      </c>
      <c r="C60" s="11" t="s">
        <v>21</v>
      </c>
      <c r="D60" s="6">
        <v>45996</v>
      </c>
      <c r="E60" s="6">
        <f t="shared" si="1"/>
        <v>46005</v>
      </c>
      <c r="F60" s="5">
        <v>10</v>
      </c>
      <c r="J60" s="13"/>
    </row>
    <row r="61" spans="2:10">
      <c r="B61" s="5">
        <v>50</v>
      </c>
      <c r="C61" s="11" t="s">
        <v>21</v>
      </c>
      <c r="D61" s="6">
        <v>46003</v>
      </c>
      <c r="E61" s="6">
        <f t="shared" si="1"/>
        <v>46012</v>
      </c>
      <c r="F61" s="5">
        <v>10</v>
      </c>
      <c r="J61" s="13"/>
    </row>
  </sheetData>
  <phoneticPr fontId="3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DDAF0-5C17-45AC-B7B7-945CCC541C33}">
  <sheetPr codeName="Sheet2"/>
  <dimension ref="B2:P67"/>
  <sheetViews>
    <sheetView tabSelected="1" workbookViewId="0">
      <selection activeCell="H4" sqref="H4"/>
    </sheetView>
  </sheetViews>
  <sheetFormatPr defaultRowHeight="14.45"/>
  <cols>
    <col min="4" max="4" width="17" customWidth="1"/>
    <col min="5" max="5" width="15.28515625" customWidth="1"/>
    <col min="6" max="13" width="23.7109375" customWidth="1"/>
    <col min="15" max="15" width="20.5703125" bestFit="1" customWidth="1"/>
    <col min="16" max="16" width="22.42578125" customWidth="1"/>
  </cols>
  <sheetData>
    <row r="2" spans="2:16">
      <c r="D2" t="s">
        <v>22</v>
      </c>
      <c r="E2" s="8">
        <v>2.4205310209113939</v>
      </c>
    </row>
    <row r="3" spans="2:16">
      <c r="D3" t="s">
        <v>23</v>
      </c>
      <c r="E3" s="8">
        <v>7.7004976851894753</v>
      </c>
    </row>
    <row r="4" spans="2:16">
      <c r="D4" t="s">
        <v>24</v>
      </c>
      <c r="E4" s="8">
        <v>7.3007870370420278</v>
      </c>
    </row>
    <row r="5" spans="2:16">
      <c r="D5" t="s">
        <v>25</v>
      </c>
      <c r="E5" s="8">
        <v>0.3997106481474475</v>
      </c>
    </row>
    <row r="7" spans="2:16">
      <c r="B7" s="5" t="s">
        <v>15</v>
      </c>
      <c r="C7" s="5" t="s">
        <v>16</v>
      </c>
      <c r="D7" s="5" t="s">
        <v>17</v>
      </c>
      <c r="E7" s="5" t="s">
        <v>18</v>
      </c>
      <c r="F7" s="5" t="s">
        <v>19</v>
      </c>
      <c r="G7" s="5" t="s">
        <v>26</v>
      </c>
      <c r="H7" s="7" t="s">
        <v>27</v>
      </c>
      <c r="I7" s="7" t="s">
        <v>28</v>
      </c>
      <c r="J7" s="7" t="s">
        <v>29</v>
      </c>
      <c r="K7" s="7" t="s">
        <v>30</v>
      </c>
      <c r="L7" s="7" t="s">
        <v>31</v>
      </c>
      <c r="M7" s="7" t="s">
        <v>32</v>
      </c>
    </row>
    <row r="8" spans="2:16">
      <c r="B8" s="5">
        <v>1</v>
      </c>
      <c r="C8" s="11" t="s">
        <v>20</v>
      </c>
      <c r="D8" s="6">
        <v>45667</v>
      </c>
      <c r="E8" s="6">
        <v>45676</v>
      </c>
      <c r="F8" s="5">
        <v>10</v>
      </c>
      <c r="G8" s="9">
        <v>45668.444670498371</v>
      </c>
      <c r="H8" s="9">
        <v>45668.944675925923</v>
      </c>
      <c r="I8" s="9">
        <v>45668.596655092595</v>
      </c>
      <c r="J8" s="10">
        <v>2.3018022762983454</v>
      </c>
      <c r="K8" s="9">
        <v>45670.898460648146</v>
      </c>
      <c r="L8" s="9">
        <v>45671.096655092595</v>
      </c>
      <c r="M8" s="10">
        <v>0</v>
      </c>
      <c r="O8" s="12"/>
      <c r="P8" s="12"/>
    </row>
    <row r="9" spans="2:16">
      <c r="B9" s="5">
        <v>2</v>
      </c>
      <c r="C9" s="11" t="s">
        <v>21</v>
      </c>
      <c r="D9" s="6">
        <v>45673</v>
      </c>
      <c r="E9" s="6">
        <v>45682</v>
      </c>
      <c r="F9" s="5">
        <v>10</v>
      </c>
      <c r="G9" s="9">
        <v>45675.589951753616</v>
      </c>
      <c r="H9" s="9">
        <v>45676.089953703704</v>
      </c>
      <c r="I9" s="9">
        <v>45675.893126269453</v>
      </c>
      <c r="J9" s="10">
        <v>2.5724491395388589</v>
      </c>
      <c r="K9" s="9">
        <v>45678.465578703705</v>
      </c>
      <c r="L9" s="9">
        <v>45678.393125000002</v>
      </c>
      <c r="M9" s="10">
        <v>7.2453703702194616E-2</v>
      </c>
      <c r="N9" t="s">
        <v>33</v>
      </c>
      <c r="O9" s="12"/>
      <c r="P9" s="12"/>
    </row>
    <row r="10" spans="2:16">
      <c r="B10" s="5">
        <v>3</v>
      </c>
      <c r="C10" s="11" t="s">
        <v>21</v>
      </c>
      <c r="D10" s="6">
        <v>45679</v>
      </c>
      <c r="E10" s="6">
        <v>45688</v>
      </c>
      <c r="F10" s="5">
        <v>10</v>
      </c>
      <c r="G10" s="9">
        <v>45679.753168046474</v>
      </c>
      <c r="H10" s="9">
        <v>45680.253171296295</v>
      </c>
      <c r="I10" s="9">
        <v>45679.909879063882</v>
      </c>
      <c r="J10" s="10">
        <v>2.7939037602510295</v>
      </c>
      <c r="K10" s="9">
        <v>45682.703784722224</v>
      </c>
      <c r="L10" s="9">
        <v>45682.409884259258</v>
      </c>
      <c r="M10" s="10">
        <v>0.29390046296612127</v>
      </c>
      <c r="O10" s="12"/>
      <c r="P10" s="12"/>
    </row>
    <row r="11" spans="2:16">
      <c r="B11" s="5">
        <v>4</v>
      </c>
      <c r="C11" s="11" t="s">
        <v>21</v>
      </c>
      <c r="D11" s="6">
        <v>45687</v>
      </c>
      <c r="E11" s="6">
        <v>45696</v>
      </c>
      <c r="F11" s="5">
        <v>10</v>
      </c>
      <c r="G11" s="9">
        <v>45687.903838992119</v>
      </c>
      <c r="H11" s="9">
        <v>45688.40384259259</v>
      </c>
      <c r="I11" s="9">
        <v>45687.927559814794</v>
      </c>
      <c r="J11" s="10">
        <v>2.2716789887321256</v>
      </c>
      <c r="K11" s="9">
        <v>45690.199236111112</v>
      </c>
      <c r="L11" s="9">
        <v>45690.427557870367</v>
      </c>
      <c r="M11" s="10">
        <v>0</v>
      </c>
      <c r="O11" s="12"/>
      <c r="P11" s="12"/>
    </row>
    <row r="12" spans="2:16">
      <c r="B12" s="5">
        <v>5</v>
      </c>
      <c r="C12" s="11" t="s">
        <v>20</v>
      </c>
      <c r="D12" s="6">
        <v>45690</v>
      </c>
      <c r="E12" s="6">
        <v>45699</v>
      </c>
      <c r="F12" s="5">
        <v>10</v>
      </c>
      <c r="G12" s="9">
        <v>45690.218366682529</v>
      </c>
      <c r="H12" s="9">
        <v>45690.718368055554</v>
      </c>
      <c r="I12" s="9">
        <v>45690.461809856635</v>
      </c>
      <c r="J12" s="10">
        <v>2.5179200295367004</v>
      </c>
      <c r="K12" s="9">
        <v>45692.979733796295</v>
      </c>
      <c r="L12" s="9">
        <v>45692.961805555555</v>
      </c>
      <c r="M12" s="10">
        <v>1.7928240740729962E-2</v>
      </c>
    </row>
    <row r="13" spans="2:16">
      <c r="B13" s="5">
        <v>6</v>
      </c>
      <c r="C13" s="11" t="s">
        <v>21</v>
      </c>
      <c r="D13" s="6">
        <v>45694</v>
      </c>
      <c r="E13" s="6">
        <v>45703</v>
      </c>
      <c r="F13" s="5">
        <v>10</v>
      </c>
      <c r="G13" s="9">
        <v>45700.912662029266</v>
      </c>
      <c r="H13" s="9">
        <v>45701.412662037037</v>
      </c>
      <c r="I13" s="9">
        <v>45701.133235010951</v>
      </c>
      <c r="J13" s="10">
        <v>2.2119154879614356</v>
      </c>
      <c r="K13" s="9">
        <v>45703.345150462963</v>
      </c>
      <c r="L13" s="9">
        <v>45703.633240740739</v>
      </c>
      <c r="M13" s="10">
        <v>0</v>
      </c>
    </row>
    <row r="14" spans="2:16">
      <c r="B14" s="5">
        <v>7</v>
      </c>
      <c r="C14" s="11" t="s">
        <v>21</v>
      </c>
      <c r="D14" s="6">
        <v>45699</v>
      </c>
      <c r="E14" s="6">
        <v>45708</v>
      </c>
      <c r="F14" s="5">
        <v>10</v>
      </c>
      <c r="G14" s="9">
        <v>45705.103640735149</v>
      </c>
      <c r="H14" s="9">
        <v>45705.603645833333</v>
      </c>
      <c r="I14" s="9">
        <v>45705.365094734763</v>
      </c>
      <c r="J14" s="10">
        <v>2.1403498150541269</v>
      </c>
      <c r="K14" s="9">
        <v>45707.505439814813</v>
      </c>
      <c r="L14" s="9">
        <v>45707.86509259259</v>
      </c>
      <c r="M14" s="10">
        <v>0</v>
      </c>
    </row>
    <row r="15" spans="2:16">
      <c r="B15" s="5">
        <v>8</v>
      </c>
      <c r="C15" s="11" t="s">
        <v>20</v>
      </c>
      <c r="D15" s="6">
        <v>45704</v>
      </c>
      <c r="E15" s="6">
        <v>45713</v>
      </c>
      <c r="F15" s="5">
        <v>10</v>
      </c>
      <c r="G15" s="9">
        <v>45708.146610379219</v>
      </c>
      <c r="H15" s="9">
        <v>45708.646608796298</v>
      </c>
      <c r="I15" s="9">
        <v>45708.246303510954</v>
      </c>
      <c r="J15" s="10">
        <v>2.1346767537195608</v>
      </c>
      <c r="K15" s="9">
        <v>45710.380983796298</v>
      </c>
      <c r="L15" s="9">
        <v>45710.746307870373</v>
      </c>
      <c r="M15" s="10">
        <v>0</v>
      </c>
    </row>
    <row r="16" spans="2:16">
      <c r="B16" s="5">
        <v>9</v>
      </c>
      <c r="C16" s="11" t="s">
        <v>21</v>
      </c>
      <c r="D16" s="6">
        <v>45714</v>
      </c>
      <c r="E16" s="6">
        <v>45723</v>
      </c>
      <c r="F16" s="5">
        <v>10</v>
      </c>
      <c r="G16" s="9">
        <v>45720.857484161854</v>
      </c>
      <c r="H16" s="9">
        <v>45721.357488425929</v>
      </c>
      <c r="I16" s="9">
        <v>45720.984389940342</v>
      </c>
      <c r="J16" s="10">
        <v>2.4351112971894731</v>
      </c>
      <c r="K16" s="9">
        <v>45723.419502314813</v>
      </c>
      <c r="L16" s="9">
        <v>45723.484386574077</v>
      </c>
      <c r="M16" s="10">
        <v>0</v>
      </c>
    </row>
    <row r="17" spans="2:13">
      <c r="B17" s="5">
        <v>10</v>
      </c>
      <c r="C17" s="11" t="s">
        <v>20</v>
      </c>
      <c r="D17" s="6">
        <v>45735</v>
      </c>
      <c r="E17" s="6">
        <v>45744</v>
      </c>
      <c r="F17" s="5">
        <v>10</v>
      </c>
      <c r="G17" s="9">
        <v>45738.143014669418</v>
      </c>
      <c r="H17" s="9">
        <v>45738.643009259256</v>
      </c>
      <c r="I17" s="9">
        <v>45738.612105568805</v>
      </c>
      <c r="J17" s="10">
        <v>2.7834291462146079</v>
      </c>
      <c r="K17" s="9">
        <v>45741.395532407405</v>
      </c>
      <c r="L17" s="9">
        <v>45741.11210648148</v>
      </c>
      <c r="M17" s="10">
        <v>0.28342592592525762</v>
      </c>
    </row>
    <row r="18" spans="2:13">
      <c r="B18" s="5">
        <v>11</v>
      </c>
      <c r="C18" s="11" t="s">
        <v>21</v>
      </c>
      <c r="D18" s="6">
        <v>45755</v>
      </c>
      <c r="E18" s="6">
        <v>45764</v>
      </c>
      <c r="F18" s="5">
        <v>10</v>
      </c>
      <c r="G18" s="9">
        <v>45762.219467580318</v>
      </c>
      <c r="H18" s="9">
        <v>45762.719467592593</v>
      </c>
      <c r="I18" s="9">
        <v>45762.393895421737</v>
      </c>
      <c r="J18" s="10">
        <v>2.650683704560032</v>
      </c>
      <c r="K18" s="9">
        <v>45765.044583333336</v>
      </c>
      <c r="L18" s="9">
        <v>45764.893900462965</v>
      </c>
      <c r="M18" s="10">
        <v>0.15068287037138361</v>
      </c>
    </row>
    <row r="19" spans="2:13">
      <c r="B19" s="5">
        <v>13</v>
      </c>
      <c r="C19" s="11" t="s">
        <v>20</v>
      </c>
      <c r="D19" s="6">
        <v>45763</v>
      </c>
      <c r="E19" s="6">
        <v>45772</v>
      </c>
      <c r="F19" s="5">
        <v>10</v>
      </c>
      <c r="G19" s="9">
        <v>45765.173851549625</v>
      </c>
      <c r="H19" s="9">
        <v>45765.673854166664</v>
      </c>
      <c r="I19" s="9">
        <v>45765.576761417426</v>
      </c>
      <c r="J19" s="10">
        <v>2.3292404837873262</v>
      </c>
      <c r="K19" s="9">
        <v>45767.906006944446</v>
      </c>
      <c r="L19" s="9">
        <v>45768.07675925926</v>
      </c>
      <c r="M19" s="10">
        <v>0</v>
      </c>
    </row>
    <row r="20" spans="2:13">
      <c r="B20" s="5">
        <v>12</v>
      </c>
      <c r="C20" s="11" t="s">
        <v>21</v>
      </c>
      <c r="D20" s="6">
        <v>45761</v>
      </c>
      <c r="E20" s="6">
        <v>45770</v>
      </c>
      <c r="F20" s="5">
        <v>10</v>
      </c>
      <c r="G20" s="9">
        <v>45767.628475546837</v>
      </c>
      <c r="H20" s="9">
        <v>45768.128472222219</v>
      </c>
      <c r="I20" s="9">
        <v>45767.906006944446</v>
      </c>
      <c r="J20" s="10">
        <v>2.3521415450806908</v>
      </c>
      <c r="K20" s="9">
        <v>45770.258148148147</v>
      </c>
      <c r="L20" s="9">
        <v>45770.406006944446</v>
      </c>
      <c r="M20" s="10">
        <v>0</v>
      </c>
    </row>
    <row r="21" spans="2:13">
      <c r="B21" s="5">
        <v>14</v>
      </c>
      <c r="C21" s="11" t="s">
        <v>21</v>
      </c>
      <c r="D21" s="6">
        <v>45775</v>
      </c>
      <c r="E21" s="6">
        <v>45784</v>
      </c>
      <c r="F21" s="5">
        <v>10</v>
      </c>
      <c r="G21" s="9">
        <v>45777.158023834229</v>
      </c>
      <c r="H21" s="9">
        <v>45777.658020833333</v>
      </c>
      <c r="I21" s="9">
        <v>45777.188455428819</v>
      </c>
      <c r="J21" s="10">
        <v>2.6821439776125557</v>
      </c>
      <c r="K21" s="9">
        <v>45779.87060185185</v>
      </c>
      <c r="L21" s="9">
        <v>45779.688460648147</v>
      </c>
      <c r="M21" s="10">
        <v>0.18214120370248565</v>
      </c>
    </row>
    <row r="22" spans="2:13">
      <c r="B22" s="5">
        <v>15</v>
      </c>
      <c r="C22" s="11" t="s">
        <v>20</v>
      </c>
      <c r="D22" s="6">
        <v>45779</v>
      </c>
      <c r="E22" s="6">
        <v>45788</v>
      </c>
      <c r="F22" s="5">
        <v>10</v>
      </c>
      <c r="G22" s="9">
        <v>45782.532106101513</v>
      </c>
      <c r="H22" s="9">
        <v>45783.032106481478</v>
      </c>
      <c r="I22" s="9">
        <v>45782.762950864024</v>
      </c>
      <c r="J22" s="10">
        <v>2.5983610508038315</v>
      </c>
      <c r="K22" s="9">
        <v>45785.361307870371</v>
      </c>
      <c r="L22" s="9">
        <v>45785.26295138889</v>
      </c>
      <c r="M22" s="10">
        <v>9.8356481481459923E-2</v>
      </c>
    </row>
    <row r="23" spans="2:13">
      <c r="B23" s="5">
        <v>16</v>
      </c>
      <c r="C23" s="11" t="s">
        <v>21</v>
      </c>
      <c r="D23" s="6">
        <v>45791</v>
      </c>
      <c r="E23" s="6">
        <v>45800</v>
      </c>
      <c r="F23" s="5">
        <v>10</v>
      </c>
      <c r="G23" s="9">
        <v>45794.867561936378</v>
      </c>
      <c r="H23" s="9">
        <v>45795.36755787037</v>
      </c>
      <c r="I23" s="9">
        <v>45795.317767565059</v>
      </c>
      <c r="J23" s="10">
        <v>2.1677149404878873</v>
      </c>
      <c r="K23" s="9">
        <v>45797.485486111109</v>
      </c>
      <c r="L23" s="9">
        <v>45797.817766203705</v>
      </c>
      <c r="M23" s="10">
        <v>0</v>
      </c>
    </row>
    <row r="24" spans="2:13">
      <c r="B24" s="5">
        <v>17</v>
      </c>
      <c r="C24" s="11" t="s">
        <v>21</v>
      </c>
      <c r="D24" s="6">
        <v>45797</v>
      </c>
      <c r="E24" s="6">
        <v>45806</v>
      </c>
      <c r="F24" s="5">
        <v>10</v>
      </c>
      <c r="G24" s="9">
        <v>45797.175586521626</v>
      </c>
      <c r="H24" s="9">
        <v>45797.67559027778</v>
      </c>
      <c r="I24" s="9">
        <v>45797.590925982426</v>
      </c>
      <c r="J24" s="10">
        <v>2.6221199987220638</v>
      </c>
      <c r="K24" s="9">
        <v>45800.213043981479</v>
      </c>
      <c r="L24" s="9">
        <v>45800.090925925928</v>
      </c>
      <c r="M24" s="10">
        <v>0.12211805555125466</v>
      </c>
    </row>
    <row r="25" spans="2:13">
      <c r="B25" s="5">
        <v>18</v>
      </c>
      <c r="C25" s="11" t="s">
        <v>21</v>
      </c>
      <c r="D25" s="6">
        <v>45799</v>
      </c>
      <c r="E25" s="6">
        <v>45808</v>
      </c>
      <c r="F25" s="5">
        <v>10</v>
      </c>
      <c r="G25" s="9">
        <v>45804.245836496353</v>
      </c>
      <c r="H25" s="9">
        <v>45804.745833333334</v>
      </c>
      <c r="I25" s="9">
        <v>45804.514917131746</v>
      </c>
      <c r="J25" s="10">
        <v>2.1448391767353909</v>
      </c>
      <c r="K25" s="9">
        <v>45806.659756944442</v>
      </c>
      <c r="L25" s="9">
        <v>45807.014918981484</v>
      </c>
      <c r="M25" s="10">
        <v>0</v>
      </c>
    </row>
    <row r="26" spans="2:13">
      <c r="B26" s="5">
        <v>19</v>
      </c>
      <c r="C26" s="11" t="s">
        <v>21</v>
      </c>
      <c r="D26" s="6">
        <v>45806</v>
      </c>
      <c r="E26" s="6">
        <v>45815</v>
      </c>
      <c r="F26" s="5">
        <v>10</v>
      </c>
      <c r="G26" s="9">
        <v>45811.239615380764</v>
      </c>
      <c r="H26" s="9">
        <v>45811.739618055559</v>
      </c>
      <c r="I26" s="9">
        <v>45811.450835672447</v>
      </c>
      <c r="J26" s="10">
        <v>2.5377573947836982</v>
      </c>
      <c r="K26" s="9">
        <v>45813.988587962966</v>
      </c>
      <c r="L26" s="9">
        <v>45813.950833333336</v>
      </c>
      <c r="M26" s="10">
        <v>3.77546296294895E-2</v>
      </c>
    </row>
    <row r="27" spans="2:13">
      <c r="B27" s="5">
        <v>20</v>
      </c>
      <c r="C27" s="11" t="s">
        <v>21</v>
      </c>
      <c r="D27" s="6">
        <v>45809</v>
      </c>
      <c r="E27" s="6">
        <v>45818</v>
      </c>
      <c r="F27" s="5">
        <v>10</v>
      </c>
      <c r="G27" s="9">
        <v>45813.08219230175</v>
      </c>
      <c r="H27" s="9">
        <v>45813.582187499997</v>
      </c>
      <c r="I27" s="9">
        <v>45813.988587962966</v>
      </c>
      <c r="J27" s="10">
        <v>2.758241010950913</v>
      </c>
      <c r="K27" s="9">
        <v>45816.746828703705</v>
      </c>
      <c r="L27" s="9">
        <v>45816.082187499997</v>
      </c>
      <c r="M27" s="10">
        <v>0.66464120370801538</v>
      </c>
    </row>
    <row r="28" spans="2:13">
      <c r="B28" s="5">
        <v>22</v>
      </c>
      <c r="C28" s="11" t="s">
        <v>20</v>
      </c>
      <c r="D28" s="6">
        <v>45817</v>
      </c>
      <c r="E28" s="6">
        <v>45826</v>
      </c>
      <c r="F28" s="5">
        <v>10</v>
      </c>
      <c r="G28" s="9">
        <v>45818.996357440948</v>
      </c>
      <c r="H28" s="9">
        <v>45819.496354166666</v>
      </c>
      <c r="I28" s="9">
        <v>45819.190197122298</v>
      </c>
      <c r="J28" s="10">
        <v>2.047883404160932</v>
      </c>
      <c r="K28" s="9">
        <v>45821.238078703704</v>
      </c>
      <c r="L28" s="9">
        <v>45821.690196759257</v>
      </c>
      <c r="M28" s="10">
        <v>0</v>
      </c>
    </row>
    <row r="29" spans="2:13">
      <c r="B29" s="5">
        <v>21</v>
      </c>
      <c r="C29" s="11" t="s">
        <v>21</v>
      </c>
      <c r="D29" s="6">
        <v>45816</v>
      </c>
      <c r="E29" s="6">
        <v>45825</v>
      </c>
      <c r="F29" s="5">
        <v>10</v>
      </c>
      <c r="G29" s="9">
        <v>45819.770220816135</v>
      </c>
      <c r="H29" s="9">
        <v>45820.270219907405</v>
      </c>
      <c r="I29" s="9">
        <v>45821.238078703704</v>
      </c>
      <c r="J29" s="10">
        <v>2.2176223167591447</v>
      </c>
      <c r="K29" s="9">
        <v>45823.455706018518</v>
      </c>
      <c r="L29" s="9">
        <v>45822.770219907405</v>
      </c>
      <c r="M29" s="10">
        <v>0.68548611111327773</v>
      </c>
    </row>
    <row r="30" spans="2:13">
      <c r="B30" s="5">
        <v>23</v>
      </c>
      <c r="C30" s="11" t="s">
        <v>21</v>
      </c>
      <c r="D30" s="6">
        <v>45823</v>
      </c>
      <c r="E30" s="6">
        <v>45832</v>
      </c>
      <c r="F30" s="5">
        <v>10</v>
      </c>
      <c r="G30" s="9">
        <v>45826.634781062603</v>
      </c>
      <c r="H30" s="9">
        <v>45827.134780092594</v>
      </c>
      <c r="I30" s="9">
        <v>45826.726162524566</v>
      </c>
      <c r="J30" s="10">
        <v>2.138335505687746</v>
      </c>
      <c r="K30" s="9">
        <v>45828.864502314813</v>
      </c>
      <c r="L30" s="9">
        <v>45829.226157407407</v>
      </c>
      <c r="M30" s="10">
        <v>0</v>
      </c>
    </row>
    <row r="31" spans="2:13">
      <c r="B31" s="5">
        <v>24</v>
      </c>
      <c r="C31" s="11" t="s">
        <v>21</v>
      </c>
      <c r="D31" s="6">
        <v>45839</v>
      </c>
      <c r="E31" s="6">
        <v>45848</v>
      </c>
      <c r="F31" s="5">
        <v>10</v>
      </c>
      <c r="G31" s="9">
        <v>45839.206509709358</v>
      </c>
      <c r="H31" s="9">
        <v>45839.706504629627</v>
      </c>
      <c r="I31" s="9">
        <v>45839.340027674552</v>
      </c>
      <c r="J31" s="10">
        <v>2.5796362480477302</v>
      </c>
      <c r="K31" s="9">
        <v>45841.919664351852</v>
      </c>
      <c r="L31" s="9">
        <v>45841.84002314815</v>
      </c>
      <c r="M31" s="10">
        <v>7.964120370161254E-2</v>
      </c>
    </row>
    <row r="32" spans="2:13">
      <c r="B32" s="5">
        <v>25</v>
      </c>
      <c r="C32" s="11" t="s">
        <v>21</v>
      </c>
      <c r="D32" s="6">
        <v>45846</v>
      </c>
      <c r="E32" s="6">
        <v>45855</v>
      </c>
      <c r="F32" s="5">
        <v>10</v>
      </c>
      <c r="G32" s="9">
        <v>45853.717825233936</v>
      </c>
      <c r="H32" s="9">
        <v>45854.217824074076</v>
      </c>
      <c r="I32" s="9">
        <v>45853.729240897635</v>
      </c>
      <c r="J32" s="10">
        <v>2.4054851570558431</v>
      </c>
      <c r="K32" s="9">
        <v>45856.134722222225</v>
      </c>
      <c r="L32" s="9">
        <v>45856.22923611111</v>
      </c>
      <c r="M32" s="10">
        <v>0</v>
      </c>
    </row>
    <row r="33" spans="2:13">
      <c r="B33" s="5">
        <v>26</v>
      </c>
      <c r="C33" s="11" t="s">
        <v>21</v>
      </c>
      <c r="D33" s="6">
        <v>45852</v>
      </c>
      <c r="E33" s="6">
        <v>45861</v>
      </c>
      <c r="F33" s="5">
        <v>10</v>
      </c>
      <c r="G33" s="9">
        <v>45858.441874265671</v>
      </c>
      <c r="H33" s="9">
        <v>45858.941874999997</v>
      </c>
      <c r="I33" s="9">
        <v>45858.592272532333</v>
      </c>
      <c r="J33" s="10">
        <v>2.3262359530614782</v>
      </c>
      <c r="K33" s="9">
        <v>45860.918506944443</v>
      </c>
      <c r="L33" s="9">
        <v>45861.092268518521</v>
      </c>
      <c r="M33" s="10">
        <v>0</v>
      </c>
    </row>
    <row r="34" spans="2:13">
      <c r="B34" s="5">
        <v>27</v>
      </c>
      <c r="C34" s="11" t="s">
        <v>20</v>
      </c>
      <c r="D34" s="6">
        <v>45859</v>
      </c>
      <c r="E34" s="6">
        <v>45868</v>
      </c>
      <c r="F34" s="5">
        <v>10</v>
      </c>
      <c r="G34" s="9">
        <v>45865.683240354061</v>
      </c>
      <c r="H34" s="9">
        <v>45866.183240740742</v>
      </c>
      <c r="I34" s="9">
        <v>45865.975715177941</v>
      </c>
      <c r="J34" s="10">
        <v>2.2444331846946253</v>
      </c>
      <c r="K34" s="9">
        <v>45868.220150462963</v>
      </c>
      <c r="L34" s="9">
        <v>45868.475717592592</v>
      </c>
      <c r="M34" s="10">
        <v>0</v>
      </c>
    </row>
    <row r="35" spans="2:13">
      <c r="B35" s="5">
        <v>28</v>
      </c>
      <c r="C35" s="11" t="s">
        <v>21</v>
      </c>
      <c r="D35" s="6">
        <v>45860</v>
      </c>
      <c r="E35" s="6">
        <v>45869</v>
      </c>
      <c r="F35" s="5">
        <v>10</v>
      </c>
      <c r="G35" s="9">
        <v>45867.156102538109</v>
      </c>
      <c r="H35" s="9">
        <v>45867.656099537038</v>
      </c>
      <c r="I35" s="9">
        <v>45868.220150462963</v>
      </c>
      <c r="J35" s="10">
        <v>2.7682619870515901</v>
      </c>
      <c r="K35" s="9">
        <v>45870.98841435185</v>
      </c>
      <c r="L35" s="9">
        <v>45870.156099537038</v>
      </c>
      <c r="M35" s="10">
        <v>0.83231481481197989</v>
      </c>
    </row>
    <row r="36" spans="2:13">
      <c r="B36" s="5">
        <v>29</v>
      </c>
      <c r="C36" s="11" t="s">
        <v>21</v>
      </c>
      <c r="D36" s="6">
        <v>45869</v>
      </c>
      <c r="E36" s="6">
        <v>45878</v>
      </c>
      <c r="F36" s="5">
        <v>10</v>
      </c>
      <c r="G36" s="9">
        <v>45872.834134638309</v>
      </c>
      <c r="H36" s="9">
        <v>45873.334131944444</v>
      </c>
      <c r="I36" s="9">
        <v>45873.314741436072</v>
      </c>
      <c r="J36" s="10">
        <v>2.5006804175189652</v>
      </c>
      <c r="K36" s="9">
        <v>45875.815416666665</v>
      </c>
      <c r="L36" s="9">
        <v>45875.814745370371</v>
      </c>
      <c r="M36" s="10">
        <v>6.7129629314877093E-4</v>
      </c>
    </row>
    <row r="37" spans="2:13">
      <c r="B37" s="5">
        <v>30</v>
      </c>
      <c r="C37" s="11" t="s">
        <v>21</v>
      </c>
      <c r="D37" s="6">
        <v>45875</v>
      </c>
      <c r="E37" s="6">
        <v>45884</v>
      </c>
      <c r="F37" s="5">
        <v>10</v>
      </c>
      <c r="G37" s="9">
        <v>45880.447682380676</v>
      </c>
      <c r="H37" s="9">
        <v>45880.947685185187</v>
      </c>
      <c r="I37" s="9">
        <v>45880.633813024491</v>
      </c>
      <c r="J37" s="10">
        <v>2.6611642813649712</v>
      </c>
      <c r="K37" s="9">
        <v>45883.294976851852</v>
      </c>
      <c r="L37" s="9">
        <v>45883.13380787037</v>
      </c>
      <c r="M37" s="10">
        <v>0.16116898148175096</v>
      </c>
    </row>
    <row r="38" spans="2:13">
      <c r="B38" s="5">
        <v>31</v>
      </c>
      <c r="C38" s="11" t="s">
        <v>21</v>
      </c>
      <c r="D38" s="6">
        <v>45882</v>
      </c>
      <c r="E38" s="6">
        <v>45891</v>
      </c>
      <c r="F38" s="5">
        <v>10</v>
      </c>
      <c r="G38" s="9">
        <v>45886.85160702467</v>
      </c>
      <c r="H38" s="9">
        <v>45887.3516087963</v>
      </c>
      <c r="I38" s="9">
        <v>45887.282561666871</v>
      </c>
      <c r="J38" s="10">
        <v>2.5535196769636039</v>
      </c>
      <c r="K38" s="9">
        <v>45889.836076388892</v>
      </c>
      <c r="L38" s="9">
        <v>45889.782557870371</v>
      </c>
      <c r="M38" s="10">
        <v>5.3518518521741498E-2</v>
      </c>
    </row>
    <row r="39" spans="2:13">
      <c r="B39" s="5">
        <v>32</v>
      </c>
      <c r="C39" s="11" t="s">
        <v>21</v>
      </c>
      <c r="D39" s="6">
        <v>45888</v>
      </c>
      <c r="E39" s="6">
        <v>45897</v>
      </c>
      <c r="F39" s="5">
        <v>10</v>
      </c>
      <c r="G39" s="9">
        <v>45890.343629479408</v>
      </c>
      <c r="H39" s="9">
        <v>45890.843634259261</v>
      </c>
      <c r="I39" s="9">
        <v>45890.784272859812</v>
      </c>
      <c r="J39" s="10">
        <v>2.1495630468445412</v>
      </c>
      <c r="K39" s="9">
        <v>45892.933831018519</v>
      </c>
      <c r="L39" s="9">
        <v>45893.284270833334</v>
      </c>
      <c r="M39" s="10">
        <v>0</v>
      </c>
    </row>
    <row r="40" spans="2:13">
      <c r="B40" s="5">
        <v>33</v>
      </c>
      <c r="C40" s="11" t="s">
        <v>20</v>
      </c>
      <c r="D40" s="6">
        <v>45897</v>
      </c>
      <c r="E40" s="6">
        <v>45906</v>
      </c>
      <c r="F40" s="5">
        <v>10</v>
      </c>
      <c r="G40" s="9">
        <v>45903.443672955036</v>
      </c>
      <c r="H40" s="9">
        <v>45903.943668981483</v>
      </c>
      <c r="I40" s="9">
        <v>45903.47795605236</v>
      </c>
      <c r="J40" s="10">
        <v>2.4581723349682458</v>
      </c>
      <c r="K40" s="9">
        <v>45905.936122685183</v>
      </c>
      <c r="L40" s="9">
        <v>45905.977951388886</v>
      </c>
      <c r="M40" s="10">
        <v>0</v>
      </c>
    </row>
    <row r="41" spans="2:13">
      <c r="B41" s="5">
        <v>34</v>
      </c>
      <c r="C41" s="11" t="s">
        <v>21</v>
      </c>
      <c r="D41" s="6">
        <v>45901</v>
      </c>
      <c r="E41" s="6">
        <v>45910</v>
      </c>
      <c r="F41" s="5">
        <v>10</v>
      </c>
      <c r="G41" s="9">
        <v>45909.352710008621</v>
      </c>
      <c r="H41" s="9">
        <v>45909.852708333332</v>
      </c>
      <c r="I41" s="9">
        <v>45909.538018112369</v>
      </c>
      <c r="J41" s="10">
        <v>2.053208500930813</v>
      </c>
      <c r="K41" s="9">
        <v>45911.591226851851</v>
      </c>
      <c r="L41" s="9">
        <v>45912.03802083333</v>
      </c>
      <c r="M41" s="10">
        <v>0</v>
      </c>
    </row>
    <row r="42" spans="2:13">
      <c r="B42" s="5">
        <v>35</v>
      </c>
      <c r="C42" s="11" t="s">
        <v>21</v>
      </c>
      <c r="D42" s="6">
        <v>45910</v>
      </c>
      <c r="E42" s="6">
        <v>45919</v>
      </c>
      <c r="F42" s="5">
        <v>10</v>
      </c>
      <c r="G42" s="9">
        <v>45912.18559640646</v>
      </c>
      <c r="H42" s="9">
        <v>45912.685601851852</v>
      </c>
      <c r="I42" s="9">
        <v>45912.254181923367</v>
      </c>
      <c r="J42" s="10">
        <v>2.548335924278919</v>
      </c>
      <c r="K42" s="9">
        <v>45914.802523148152</v>
      </c>
      <c r="L42" s="9">
        <v>45914.754178240742</v>
      </c>
      <c r="M42" s="10">
        <v>4.8344907409045845E-2</v>
      </c>
    </row>
    <row r="43" spans="2:13">
      <c r="B43" s="5">
        <v>36</v>
      </c>
      <c r="C43" s="11" t="s">
        <v>21</v>
      </c>
      <c r="D43" s="6">
        <v>45917</v>
      </c>
      <c r="E43" s="6">
        <v>45926</v>
      </c>
      <c r="F43" s="5">
        <v>10</v>
      </c>
      <c r="G43" s="9">
        <v>45920.444444537163</v>
      </c>
      <c r="H43" s="9">
        <v>45920.944444444445</v>
      </c>
      <c r="I43" s="9">
        <v>45920.928944289248</v>
      </c>
      <c r="J43" s="10">
        <v>2.2447715049448935</v>
      </c>
      <c r="K43" s="9">
        <v>45923.173715277779</v>
      </c>
      <c r="L43" s="9">
        <v>45923.428946759261</v>
      </c>
      <c r="M43" s="10">
        <v>0</v>
      </c>
    </row>
    <row r="44" spans="2:13">
      <c r="B44" s="5">
        <v>37</v>
      </c>
      <c r="C44" s="11" t="s">
        <v>21</v>
      </c>
      <c r="D44" s="6">
        <v>45923</v>
      </c>
      <c r="E44" s="6">
        <v>45932</v>
      </c>
      <c r="F44" s="5">
        <v>10</v>
      </c>
      <c r="G44" s="9">
        <v>45931.082878172398</v>
      </c>
      <c r="H44" s="9">
        <v>45931.582881944443</v>
      </c>
      <c r="I44" s="9">
        <v>45931.258490963395</v>
      </c>
      <c r="J44" s="10">
        <v>2.5434750350067556</v>
      </c>
      <c r="K44" s="9">
        <v>45933.80196759259</v>
      </c>
      <c r="L44" s="9">
        <v>45933.75849537037</v>
      </c>
      <c r="M44" s="10">
        <v>4.3472222219861578E-2</v>
      </c>
    </row>
    <row r="45" spans="2:13">
      <c r="B45" s="5">
        <v>38</v>
      </c>
      <c r="C45" s="11" t="s">
        <v>21</v>
      </c>
      <c r="D45" s="6">
        <v>45929</v>
      </c>
      <c r="E45" s="6">
        <v>45938</v>
      </c>
      <c r="F45" s="5">
        <v>10</v>
      </c>
      <c r="G45" s="9">
        <v>45937.860143184662</v>
      </c>
      <c r="H45" s="9">
        <v>45938.360138888886</v>
      </c>
      <c r="I45" s="9">
        <v>45938.03664154165</v>
      </c>
      <c r="J45" s="10">
        <v>2.2815074429044708</v>
      </c>
      <c r="K45" s="9">
        <v>45940.318148148152</v>
      </c>
      <c r="L45" s="9">
        <v>45940.536643518521</v>
      </c>
      <c r="M45" s="10">
        <v>0</v>
      </c>
    </row>
    <row r="46" spans="2:13">
      <c r="B46" s="5">
        <v>39</v>
      </c>
      <c r="C46" s="11" t="s">
        <v>20</v>
      </c>
      <c r="D46" s="6">
        <v>45935</v>
      </c>
      <c r="E46" s="6">
        <v>45944</v>
      </c>
      <c r="F46" s="5">
        <v>10</v>
      </c>
      <c r="G46" s="9">
        <v>45939.638150393963</v>
      </c>
      <c r="H46" s="9">
        <v>45940.138148148151</v>
      </c>
      <c r="I46" s="9">
        <v>45940.318148148152</v>
      </c>
      <c r="J46" s="10">
        <v>2.1422897543390023</v>
      </c>
      <c r="K46" s="9">
        <v>45942.460439814815</v>
      </c>
      <c r="L46" s="9">
        <v>45942.638148148151</v>
      </c>
      <c r="M46" s="10">
        <v>0</v>
      </c>
    </row>
    <row r="47" spans="2:13">
      <c r="B47" s="5">
        <v>40</v>
      </c>
      <c r="C47" s="11" t="s">
        <v>21</v>
      </c>
      <c r="D47" s="6">
        <v>45937</v>
      </c>
      <c r="E47" s="6">
        <v>45946</v>
      </c>
      <c r="F47" s="5">
        <v>10</v>
      </c>
      <c r="G47" s="9">
        <v>45941.412222027779</v>
      </c>
      <c r="H47" s="9">
        <v>45941.912222222221</v>
      </c>
      <c r="I47" s="9">
        <v>45942.460439814815</v>
      </c>
      <c r="J47" s="10">
        <v>2.644861126315794</v>
      </c>
      <c r="K47" s="9">
        <v>45945.105300925927</v>
      </c>
      <c r="L47" s="9">
        <v>45944.412222222221</v>
      </c>
      <c r="M47" s="10">
        <v>0.69307870370539604</v>
      </c>
    </row>
    <row r="48" spans="2:13">
      <c r="B48" s="5">
        <v>41</v>
      </c>
      <c r="C48" s="11" t="s">
        <v>21</v>
      </c>
      <c r="D48" s="6">
        <v>45943</v>
      </c>
      <c r="E48" s="6">
        <v>45952</v>
      </c>
      <c r="F48" s="5">
        <v>10</v>
      </c>
      <c r="G48" s="9">
        <v>45943.453227341175</v>
      </c>
      <c r="H48" s="9">
        <v>45943.953229166669</v>
      </c>
      <c r="I48" s="9">
        <v>45945.105300925927</v>
      </c>
      <c r="J48" s="10">
        <v>2.5242778322379369</v>
      </c>
      <c r="K48" s="9">
        <v>45947.629583333335</v>
      </c>
      <c r="L48" s="9">
        <v>45946.453229166669</v>
      </c>
      <c r="M48" s="10">
        <v>1.1763541666659876</v>
      </c>
    </row>
    <row r="49" spans="2:13">
      <c r="B49" s="5">
        <v>42</v>
      </c>
      <c r="C49" s="11" t="s">
        <v>21</v>
      </c>
      <c r="D49" s="6">
        <v>45950</v>
      </c>
      <c r="E49" s="6">
        <v>45959</v>
      </c>
      <c r="F49" s="5">
        <v>10</v>
      </c>
      <c r="G49" s="9">
        <v>45953.178050756454</v>
      </c>
      <c r="H49" s="9">
        <v>45953.678055555552</v>
      </c>
      <c r="I49" s="9">
        <v>45953.2491314379</v>
      </c>
      <c r="J49" s="10">
        <v>2.374192490900747</v>
      </c>
      <c r="K49" s="9">
        <v>45955.62332175926</v>
      </c>
      <c r="L49" s="9">
        <v>45955.749131944445</v>
      </c>
      <c r="M49" s="10">
        <v>0</v>
      </c>
    </row>
    <row r="50" spans="2:13">
      <c r="B50" s="5">
        <v>43</v>
      </c>
      <c r="C50" s="11" t="s">
        <v>21</v>
      </c>
      <c r="D50" s="6">
        <v>45961</v>
      </c>
      <c r="E50" s="6">
        <v>45970</v>
      </c>
      <c r="F50" s="5">
        <v>10</v>
      </c>
      <c r="G50" s="9">
        <v>45962.64756244421</v>
      </c>
      <c r="H50" s="9">
        <v>45963.147557870368</v>
      </c>
      <c r="I50" s="9">
        <v>45962.9624998668</v>
      </c>
      <c r="J50" s="10">
        <v>2.3768264102927623</v>
      </c>
      <c r="K50" s="9">
        <v>45965.339328703703</v>
      </c>
      <c r="L50" s="9">
        <v>45965.462500000001</v>
      </c>
      <c r="M50" s="10">
        <v>0</v>
      </c>
    </row>
    <row r="51" spans="2:13">
      <c r="B51" s="5">
        <v>44</v>
      </c>
      <c r="C51" s="11" t="s">
        <v>21</v>
      </c>
      <c r="D51" s="6">
        <v>45967</v>
      </c>
      <c r="E51" s="6">
        <v>45976</v>
      </c>
      <c r="F51" s="5">
        <v>10</v>
      </c>
      <c r="G51" s="9">
        <v>45970.744581580162</v>
      </c>
      <c r="H51" s="9">
        <v>45971.244583333333</v>
      </c>
      <c r="I51" s="9">
        <v>45970.916008388071</v>
      </c>
      <c r="J51" s="10">
        <v>2.5540573954468098</v>
      </c>
      <c r="K51" s="9">
        <v>45973.470069444447</v>
      </c>
      <c r="L51" s="9">
        <v>45973.416006944448</v>
      </c>
      <c r="M51" s="10">
        <v>5.4062499999417923E-2</v>
      </c>
    </row>
    <row r="52" spans="2:13">
      <c r="B52" s="5">
        <v>46</v>
      </c>
      <c r="C52" s="11" t="s">
        <v>20</v>
      </c>
      <c r="D52" s="6">
        <v>45978</v>
      </c>
      <c r="E52" s="6">
        <v>45987</v>
      </c>
      <c r="F52" s="5">
        <v>10</v>
      </c>
      <c r="G52" s="9">
        <v>45979.410009384155</v>
      </c>
      <c r="H52" s="9">
        <v>45979.910011574073</v>
      </c>
      <c r="I52" s="9">
        <v>45979.495497571334</v>
      </c>
      <c r="J52" s="10">
        <v>2.4697528984316399</v>
      </c>
      <c r="K52" s="9">
        <v>45981.965254629627</v>
      </c>
      <c r="L52" s="9">
        <v>45981.995497685188</v>
      </c>
      <c r="M52" s="10">
        <v>0</v>
      </c>
    </row>
    <row r="53" spans="2:13">
      <c r="B53" s="5">
        <v>45</v>
      </c>
      <c r="C53" s="11" t="s">
        <v>21</v>
      </c>
      <c r="D53" s="6">
        <v>45973</v>
      </c>
      <c r="E53" s="6">
        <v>45982</v>
      </c>
      <c r="F53" s="5">
        <v>10</v>
      </c>
      <c r="G53" s="9">
        <v>45979.62436157465</v>
      </c>
      <c r="H53" s="9">
        <v>45980.124363425923</v>
      </c>
      <c r="I53" s="9">
        <v>45981.965254629627</v>
      </c>
      <c r="J53" s="10">
        <v>2.5557044193247922</v>
      </c>
      <c r="K53" s="9">
        <v>45984.520960648151</v>
      </c>
      <c r="L53" s="9">
        <v>45982.624363425923</v>
      </c>
      <c r="M53" s="10">
        <v>1.8965972222285927</v>
      </c>
    </row>
    <row r="54" spans="2:13">
      <c r="B54" s="5">
        <v>47</v>
      </c>
      <c r="C54" s="11" t="s">
        <v>21</v>
      </c>
      <c r="D54" s="6">
        <v>45980</v>
      </c>
      <c r="E54" s="6">
        <v>45989</v>
      </c>
      <c r="F54" s="5">
        <v>10</v>
      </c>
      <c r="G54" s="9">
        <v>45983.965602576733</v>
      </c>
      <c r="H54" s="9">
        <v>45984.465601851851</v>
      </c>
      <c r="I54" s="9">
        <v>45984.520960648151</v>
      </c>
      <c r="J54" s="10">
        <v>2.4464608067577354</v>
      </c>
      <c r="K54" s="9">
        <v>45986.967418981483</v>
      </c>
      <c r="L54" s="9">
        <v>45986.965601851851</v>
      </c>
      <c r="M54" s="10">
        <v>1.8171296323998831E-3</v>
      </c>
    </row>
    <row r="55" spans="2:13">
      <c r="B55" s="5">
        <v>48</v>
      </c>
      <c r="C55" s="11" t="s">
        <v>21</v>
      </c>
      <c r="D55" s="6">
        <v>45989</v>
      </c>
      <c r="E55" s="6">
        <v>45998</v>
      </c>
      <c r="F55" s="5">
        <v>10</v>
      </c>
      <c r="G55" s="9">
        <v>45996.998713135719</v>
      </c>
      <c r="H55" s="9">
        <v>45997.498715277776</v>
      </c>
      <c r="I55" s="9">
        <v>45997.214084862462</v>
      </c>
      <c r="J55" s="10">
        <v>2.550568484178219</v>
      </c>
      <c r="K55" s="9">
        <v>45999.764652777776</v>
      </c>
      <c r="L55" s="9">
        <v>45999.714085648149</v>
      </c>
      <c r="M55" s="10">
        <v>5.0567129626870155E-2</v>
      </c>
    </row>
    <row r="56" spans="2:13">
      <c r="B56" s="5">
        <v>49</v>
      </c>
      <c r="C56" s="11" t="s">
        <v>21</v>
      </c>
      <c r="D56" s="6">
        <v>45996</v>
      </c>
      <c r="E56" s="6">
        <v>46005</v>
      </c>
      <c r="F56" s="5">
        <v>10</v>
      </c>
      <c r="G56" s="9">
        <v>46003.487211048603</v>
      </c>
      <c r="H56" s="9">
        <v>46003.987210648149</v>
      </c>
      <c r="I56" s="9">
        <v>46003.949156897834</v>
      </c>
      <c r="J56" s="10">
        <v>2.4961240255774446</v>
      </c>
      <c r="K56" s="9">
        <v>46006.445277777777</v>
      </c>
      <c r="L56" s="9">
        <v>46006.449155092596</v>
      </c>
      <c r="M56" s="10">
        <v>0</v>
      </c>
    </row>
    <row r="57" spans="2:13">
      <c r="B57" s="5">
        <v>50</v>
      </c>
      <c r="C57" s="11" t="s">
        <v>21</v>
      </c>
      <c r="D57" s="6">
        <v>46003</v>
      </c>
      <c r="E57" s="6">
        <v>46012</v>
      </c>
      <c r="F57" s="5">
        <v>10</v>
      </c>
      <c r="G57" s="9">
        <v>46008.195728540421</v>
      </c>
      <c r="H57" s="9">
        <v>46008.695729166669</v>
      </c>
      <c r="I57" s="9">
        <v>46008.325706197698</v>
      </c>
      <c r="J57" s="10">
        <v>2.1626635015009059</v>
      </c>
      <c r="K57" s="9">
        <v>46010.488368055558</v>
      </c>
      <c r="L57" s="9">
        <v>46010.825706018521</v>
      </c>
      <c r="M57" s="10">
        <v>0</v>
      </c>
    </row>
    <row r="58" spans="2:13">
      <c r="B58" s="5"/>
      <c r="C58" s="11"/>
      <c r="D58" s="6"/>
      <c r="E58" s="6"/>
      <c r="F58" s="5"/>
      <c r="G58" s="9"/>
      <c r="H58" s="9"/>
      <c r="I58" s="9"/>
      <c r="J58" s="10"/>
      <c r="K58" s="9"/>
      <c r="L58" s="9"/>
      <c r="M58" s="10"/>
    </row>
    <row r="59" spans="2:13">
      <c r="B59" s="5"/>
      <c r="C59" s="11"/>
      <c r="D59" s="6"/>
      <c r="E59" s="6"/>
      <c r="F59" s="5"/>
      <c r="G59" s="9"/>
      <c r="H59" s="9"/>
      <c r="I59" s="9"/>
      <c r="J59" s="10"/>
      <c r="K59" s="9"/>
      <c r="L59" s="9"/>
      <c r="M59" s="10"/>
    </row>
    <row r="60" spans="2:13">
      <c r="B60" s="5"/>
      <c r="C60" s="11"/>
      <c r="D60" s="6"/>
      <c r="E60" s="6"/>
      <c r="F60" s="5"/>
      <c r="G60" s="9"/>
      <c r="H60" s="9"/>
      <c r="I60" s="9"/>
      <c r="J60" s="10"/>
      <c r="K60" s="9"/>
      <c r="L60" s="9"/>
      <c r="M60" s="10"/>
    </row>
    <row r="61" spans="2:13">
      <c r="B61" s="5"/>
      <c r="C61" s="11"/>
      <c r="D61" s="6"/>
      <c r="E61" s="6"/>
      <c r="F61" s="5"/>
      <c r="G61" s="9"/>
      <c r="H61" s="9"/>
      <c r="I61" s="9"/>
      <c r="J61" s="10"/>
      <c r="K61" s="9"/>
      <c r="L61" s="9"/>
      <c r="M61" s="10"/>
    </row>
    <row r="62" spans="2:13">
      <c r="B62" s="5"/>
      <c r="C62" s="11"/>
      <c r="D62" s="6"/>
      <c r="E62" s="6"/>
      <c r="F62" s="5"/>
      <c r="G62" s="9"/>
      <c r="H62" s="9"/>
      <c r="I62" s="9"/>
      <c r="J62" s="10"/>
      <c r="K62" s="9"/>
      <c r="L62" s="9"/>
      <c r="M62" s="10"/>
    </row>
    <row r="63" spans="2:13">
      <c r="B63" s="5"/>
      <c r="C63" s="11"/>
      <c r="D63" s="6"/>
      <c r="E63" s="6"/>
      <c r="F63" s="5"/>
      <c r="G63" s="9"/>
      <c r="H63" s="9"/>
      <c r="I63" s="9"/>
      <c r="J63" s="10"/>
      <c r="K63" s="9"/>
      <c r="L63" s="9"/>
      <c r="M63" s="10"/>
    </row>
    <row r="64" spans="2:13">
      <c r="B64" s="5"/>
      <c r="C64" s="11"/>
      <c r="D64" s="6"/>
      <c r="E64" s="6"/>
      <c r="F64" s="5"/>
      <c r="G64" s="9"/>
      <c r="H64" s="9"/>
      <c r="I64" s="9"/>
      <c r="J64" s="10"/>
      <c r="K64" s="9"/>
      <c r="L64" s="9"/>
      <c r="M64" s="10"/>
    </row>
    <row r="65" spans="2:13">
      <c r="B65" s="5"/>
      <c r="C65" s="11"/>
      <c r="D65" s="6"/>
      <c r="E65" s="6"/>
      <c r="F65" s="5"/>
      <c r="G65" s="9"/>
      <c r="H65" s="9"/>
      <c r="I65" s="9"/>
      <c r="J65" s="10"/>
      <c r="K65" s="9"/>
      <c r="L65" s="9"/>
      <c r="M65" s="10"/>
    </row>
    <row r="66" spans="2:13">
      <c r="B66" s="5"/>
      <c r="C66" s="11"/>
      <c r="D66" s="6"/>
      <c r="E66" s="6"/>
      <c r="F66" s="5"/>
      <c r="G66" s="9"/>
      <c r="H66" s="9"/>
      <c r="I66" s="9"/>
      <c r="J66" s="10"/>
      <c r="K66" s="9"/>
      <c r="L66" s="9"/>
      <c r="M66" s="10"/>
    </row>
    <row r="67" spans="2:13">
      <c r="B67" s="5"/>
      <c r="C67" s="11"/>
      <c r="D67" s="6"/>
      <c r="E67" s="6"/>
      <c r="F67" s="5"/>
      <c r="G67" s="9"/>
      <c r="H67" s="9"/>
      <c r="I67" s="9"/>
      <c r="J67" s="10"/>
      <c r="K67" s="9"/>
      <c r="L67" s="9"/>
      <c r="M67" s="10"/>
    </row>
  </sheetData>
  <sortState xmlns:xlrd2="http://schemas.microsoft.com/office/spreadsheetml/2017/richdata2" ref="B8:M57">
    <sortCondition ref="G8:G5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0A29-8660-4F85-BB31-6F36E2C09253}">
  <sheetPr codeName="Sheet3"/>
  <dimension ref="B1:J307"/>
  <sheetViews>
    <sheetView workbookViewId="0">
      <selection sqref="A1:XFD1"/>
    </sheetView>
  </sheetViews>
  <sheetFormatPr defaultRowHeight="14.45"/>
  <cols>
    <col min="3" max="3" width="20.7109375" customWidth="1"/>
    <col min="4" max="6" width="17.5703125" customWidth="1"/>
    <col min="8" max="8" width="15.5703125" customWidth="1"/>
    <col min="9" max="9" width="15.28515625" customWidth="1"/>
  </cols>
  <sheetData>
    <row r="1" spans="2:10">
      <c r="C1" t="s">
        <v>34</v>
      </c>
      <c r="D1" t="s">
        <v>21</v>
      </c>
      <c r="E1" t="s">
        <v>20</v>
      </c>
      <c r="H1" s="14" t="s">
        <v>35</v>
      </c>
      <c r="I1" s="15">
        <f>_xlfn.STDEV.S(D8:D307)</f>
        <v>3.8632315818688272</v>
      </c>
    </row>
    <row r="2" spans="2:10">
      <c r="B2" t="s">
        <v>36</v>
      </c>
      <c r="C2" s="8">
        <f>AVERAGE(D$8:D$307)</f>
        <v>14.184149498455954</v>
      </c>
      <c r="D2" s="8">
        <f>AVERAGE(E$8:E$307)</f>
        <v>10.60713252314752</v>
      </c>
      <c r="E2" s="8">
        <f>AVERAGE(F$8:F$307)</f>
        <v>3.5770169753084335</v>
      </c>
      <c r="F2" s="8"/>
      <c r="G2" s="8"/>
      <c r="H2" s="16" t="s">
        <v>37</v>
      </c>
      <c r="I2" s="17">
        <f>CONFIDENCE(0.05,I1,300)</f>
        <v>0.43715777454752858</v>
      </c>
      <c r="J2" s="8"/>
    </row>
    <row r="3" spans="2:10">
      <c r="B3" t="s">
        <v>38</v>
      </c>
      <c r="C3" s="8">
        <f>MIN(D$8:D$307)</f>
        <v>4.1021643518324709</v>
      </c>
      <c r="D3" s="8">
        <f>MIN(E$8:E$307)</f>
        <v>2.7945138888680958</v>
      </c>
      <c r="E3" s="8">
        <f t="shared" ref="E3" si="0">MIN(F$8:F$307)</f>
        <v>0.12925925926538184</v>
      </c>
      <c r="G3" s="8"/>
      <c r="H3" s="16" t="s">
        <v>39</v>
      </c>
      <c r="I3" s="17">
        <f>C2-I2</f>
        <v>13.746991723908424</v>
      </c>
      <c r="J3" s="8"/>
    </row>
    <row r="4" spans="2:10">
      <c r="B4" t="s">
        <v>40</v>
      </c>
      <c r="C4" s="8">
        <f>MAX(D$8:D$307)</f>
        <v>26.436967592599103</v>
      </c>
      <c r="D4" s="8">
        <f t="shared" ref="D4:E4" si="1">MAX(E$8:E$307)</f>
        <v>21.689965277793817</v>
      </c>
      <c r="E4" s="8">
        <f t="shared" si="1"/>
        <v>10.179155092613655</v>
      </c>
      <c r="G4" s="8"/>
      <c r="H4" s="16" t="s">
        <v>41</v>
      </c>
      <c r="I4" s="17">
        <f>C2+I2</f>
        <v>14.621307273003483</v>
      </c>
      <c r="J4" s="8"/>
    </row>
    <row r="7" spans="2:10">
      <c r="B7" t="s">
        <v>42</v>
      </c>
      <c r="C7" t="s">
        <v>43</v>
      </c>
      <c r="D7" t="s">
        <v>44</v>
      </c>
      <c r="E7" t="s">
        <v>45</v>
      </c>
      <c r="F7" t="s">
        <v>46</v>
      </c>
    </row>
    <row r="8" spans="2:10">
      <c r="B8">
        <v>1</v>
      </c>
      <c r="C8" s="8">
        <v>2.5065093096171172</v>
      </c>
      <c r="D8" s="8">
        <v>12.357835648166656</v>
      </c>
      <c r="E8" s="8">
        <v>9.268900462979218</v>
      </c>
      <c r="F8" s="8">
        <v>3.088935185187438</v>
      </c>
    </row>
    <row r="9" spans="2:10">
      <c r="B9">
        <v>2</v>
      </c>
      <c r="C9" s="8">
        <v>2.5147643220600062</v>
      </c>
      <c r="D9" s="8">
        <v>17.606377314827114</v>
      </c>
      <c r="E9" s="8">
        <v>14.536261574088712</v>
      </c>
      <c r="F9" s="8">
        <v>3.0701157407384017</v>
      </c>
    </row>
    <row r="10" spans="2:10">
      <c r="B10">
        <v>3</v>
      </c>
      <c r="C10" s="8">
        <v>2.490222917835978</v>
      </c>
      <c r="D10" s="8">
        <v>13.427800925950578</v>
      </c>
      <c r="E10" s="8">
        <v>11.34395833335293</v>
      </c>
      <c r="F10" s="8">
        <v>2.083842592597648</v>
      </c>
    </row>
    <row r="11" spans="2:10">
      <c r="B11">
        <v>4</v>
      </c>
      <c r="C11" s="8">
        <v>2.4516207562909531</v>
      </c>
      <c r="D11" s="8">
        <v>10.03900462963793</v>
      </c>
      <c r="E11" s="8">
        <v>5.2872800925979391</v>
      </c>
      <c r="F11" s="8">
        <v>4.7517245370399905</v>
      </c>
    </row>
    <row r="12" spans="2:10">
      <c r="B12">
        <v>5</v>
      </c>
      <c r="C12" s="8">
        <v>2.5246786107748136</v>
      </c>
      <c r="D12" s="8">
        <v>13.821249999979045</v>
      </c>
      <c r="E12" s="8">
        <v>11.402442129619885</v>
      </c>
      <c r="F12" s="8">
        <v>2.41880787035916</v>
      </c>
    </row>
    <row r="13" spans="2:10">
      <c r="B13">
        <v>6</v>
      </c>
      <c r="C13" s="8">
        <v>2.4788123010444956</v>
      </c>
      <c r="D13" s="8">
        <v>9.9512268518228666</v>
      </c>
      <c r="E13" s="8">
        <v>9.2400578703454812</v>
      </c>
      <c r="F13" s="8">
        <v>0.71116898147738539</v>
      </c>
    </row>
    <row r="14" spans="2:10">
      <c r="B14">
        <v>7</v>
      </c>
      <c r="C14" s="8">
        <v>2.4866339283060466</v>
      </c>
      <c r="D14" s="8">
        <v>14.781250000014552</v>
      </c>
      <c r="E14" s="8">
        <v>9.8929629629710689</v>
      </c>
      <c r="F14" s="8">
        <v>4.888287037043483</v>
      </c>
    </row>
    <row r="15" spans="2:10">
      <c r="B15">
        <v>8</v>
      </c>
      <c r="C15" s="8">
        <v>2.5321409427736841</v>
      </c>
      <c r="D15" s="8">
        <v>22.287928240759356</v>
      </c>
      <c r="E15" s="8">
        <v>18.245891203718202</v>
      </c>
      <c r="F15" s="8">
        <v>4.0420370370411547</v>
      </c>
    </row>
    <row r="16" spans="2:10">
      <c r="B16">
        <v>9</v>
      </c>
      <c r="C16" s="8">
        <v>2.4926893326247894</v>
      </c>
      <c r="D16" s="8">
        <v>15.049259259292739</v>
      </c>
      <c r="E16" s="8">
        <v>12.892777777800802</v>
      </c>
      <c r="F16" s="8">
        <v>2.1564814814919373</v>
      </c>
    </row>
    <row r="17" spans="2:6">
      <c r="B17">
        <v>10</v>
      </c>
      <c r="C17" s="8">
        <v>2.4898461999459638</v>
      </c>
      <c r="D17" s="8">
        <v>15.978900462985621</v>
      </c>
      <c r="E17" s="8">
        <v>12.971886574086966</v>
      </c>
      <c r="F17" s="8">
        <v>3.0070138888986548</v>
      </c>
    </row>
    <row r="18" spans="2:6">
      <c r="B18">
        <v>11</v>
      </c>
      <c r="C18" s="8">
        <v>2.5037292942364773</v>
      </c>
      <c r="D18" s="8">
        <v>11.916319444455439</v>
      </c>
      <c r="E18" s="8">
        <v>8.9227430555620231</v>
      </c>
      <c r="F18" s="8">
        <v>2.9935763888934162</v>
      </c>
    </row>
    <row r="19" spans="2:6">
      <c r="B19">
        <v>12</v>
      </c>
      <c r="C19" s="8">
        <v>2.4119555305740503</v>
      </c>
      <c r="D19" s="8">
        <v>13.099074074045348</v>
      </c>
      <c r="E19" s="8">
        <v>10.530949074054661</v>
      </c>
      <c r="F19" s="8">
        <v>2.5681249999906868</v>
      </c>
    </row>
    <row r="20" spans="2:6">
      <c r="B20">
        <v>13</v>
      </c>
      <c r="C20" s="8">
        <v>2.5246552368047293</v>
      </c>
      <c r="D20" s="8">
        <v>11.89224537031987</v>
      </c>
      <c r="E20" s="8">
        <v>8.7658912036713446</v>
      </c>
      <c r="F20" s="8">
        <v>3.1263541666485253</v>
      </c>
    </row>
    <row r="21" spans="2:6">
      <c r="B21">
        <v>14</v>
      </c>
      <c r="C21" s="8">
        <v>2.4808475215151997</v>
      </c>
      <c r="D21" s="8">
        <v>11.859849537016999</v>
      </c>
      <c r="E21" s="8">
        <v>8.8700925925804768</v>
      </c>
      <c r="F21" s="8">
        <v>2.9897569444365217</v>
      </c>
    </row>
    <row r="22" spans="2:6">
      <c r="B22">
        <v>15</v>
      </c>
      <c r="C22" s="8">
        <v>2.5241648342122178</v>
      </c>
      <c r="D22" s="8">
        <v>18.119340277771698</v>
      </c>
      <c r="E22" s="8">
        <v>13.683136574065429</v>
      </c>
      <c r="F22" s="8">
        <v>4.4362037037062692</v>
      </c>
    </row>
    <row r="23" spans="2:6">
      <c r="B23">
        <v>16</v>
      </c>
      <c r="C23" s="8">
        <v>2.4686959878975467</v>
      </c>
      <c r="D23" s="8">
        <v>21.295381944415567</v>
      </c>
      <c r="E23" s="8">
        <v>17.197731481457595</v>
      </c>
      <c r="F23" s="8">
        <v>4.0976504629579722</v>
      </c>
    </row>
    <row r="24" spans="2:6">
      <c r="B24">
        <v>17</v>
      </c>
      <c r="C24" s="8">
        <v>2.4888098375236889</v>
      </c>
      <c r="D24" s="8">
        <v>9.166157407402352</v>
      </c>
      <c r="E24" s="8">
        <v>6.1315856481305673</v>
      </c>
      <c r="F24" s="8">
        <v>3.0345717592717847</v>
      </c>
    </row>
    <row r="25" spans="2:6">
      <c r="B25">
        <v>18</v>
      </c>
      <c r="C25" s="8">
        <v>2.5159521535577114</v>
      </c>
      <c r="D25" s="8">
        <v>17.779340277782467</v>
      </c>
      <c r="E25" s="8">
        <v>11.303449074082891</v>
      </c>
      <c r="F25" s="8">
        <v>6.4758912036995753</v>
      </c>
    </row>
    <row r="26" spans="2:6">
      <c r="B26">
        <v>19</v>
      </c>
      <c r="C26" s="8">
        <v>2.5296984205889146</v>
      </c>
      <c r="D26" s="8">
        <v>13.360231481470692</v>
      </c>
      <c r="E26" s="8">
        <v>9.1910879629649571</v>
      </c>
      <c r="F26" s="8">
        <v>4.1691435185057344</v>
      </c>
    </row>
    <row r="27" spans="2:6">
      <c r="B27">
        <v>20</v>
      </c>
      <c r="C27" s="8">
        <v>2.4601678123611062</v>
      </c>
      <c r="D27" s="8">
        <v>13.323379629597184</v>
      </c>
      <c r="E27" s="8">
        <v>8.3014583333133487</v>
      </c>
      <c r="F27" s="8">
        <v>5.0219212962838355</v>
      </c>
    </row>
    <row r="28" spans="2:6">
      <c r="B28">
        <v>21</v>
      </c>
      <c r="C28" s="8">
        <v>2.5251877017378006</v>
      </c>
      <c r="D28" s="8">
        <v>14.257881944424298</v>
      </c>
      <c r="E28" s="8">
        <v>13.498379629621923</v>
      </c>
      <c r="F28" s="8">
        <v>0.75950231480237562</v>
      </c>
    </row>
    <row r="29" spans="2:6">
      <c r="B29">
        <v>22</v>
      </c>
      <c r="C29" s="8">
        <v>2.5017375085301383</v>
      </c>
      <c r="D29" s="8">
        <v>17.707905092596775</v>
      </c>
      <c r="E29" s="8">
        <v>11.608206018529017</v>
      </c>
      <c r="F29" s="8">
        <v>6.0996990740677575</v>
      </c>
    </row>
    <row r="30" spans="2:6">
      <c r="B30">
        <v>23</v>
      </c>
      <c r="C30" s="8">
        <v>2.472590224173322</v>
      </c>
      <c r="D30" s="8">
        <v>10.652650462950987</v>
      </c>
      <c r="E30" s="8">
        <v>8.4527199073927477</v>
      </c>
      <c r="F30" s="8">
        <v>2.1999305555582396</v>
      </c>
    </row>
    <row r="31" spans="2:6">
      <c r="B31">
        <v>24</v>
      </c>
      <c r="C31" s="8">
        <v>2.4543461598836638</v>
      </c>
      <c r="D31" s="8">
        <v>10.977199074077362</v>
      </c>
      <c r="E31" s="8">
        <v>7.4792013889018563</v>
      </c>
      <c r="F31" s="8">
        <v>3.4979976851755055</v>
      </c>
    </row>
    <row r="32" spans="2:6">
      <c r="B32">
        <v>25</v>
      </c>
      <c r="C32" s="8">
        <v>2.5392434805671145</v>
      </c>
      <c r="D32" s="8">
        <v>14.531446759247046</v>
      </c>
      <c r="E32" s="8">
        <v>12.011365740727342</v>
      </c>
      <c r="F32" s="8">
        <v>2.5200810185197042</v>
      </c>
    </row>
    <row r="33" spans="2:6">
      <c r="B33">
        <v>26</v>
      </c>
      <c r="C33" s="8">
        <v>2.4644919442954811</v>
      </c>
      <c r="D33" s="8">
        <v>24.620069444463297</v>
      </c>
      <c r="E33" s="8">
        <v>21.689965277793817</v>
      </c>
      <c r="F33" s="8">
        <v>2.93010416666948</v>
      </c>
    </row>
    <row r="34" spans="2:6">
      <c r="B34">
        <v>27</v>
      </c>
      <c r="C34" s="8">
        <v>2.5350447400978346</v>
      </c>
      <c r="D34" s="8">
        <v>14.561631944452529</v>
      </c>
      <c r="E34" s="8">
        <v>12.840798611126957</v>
      </c>
      <c r="F34" s="8">
        <v>1.7208333333255723</v>
      </c>
    </row>
    <row r="35" spans="2:6">
      <c r="B35">
        <v>28</v>
      </c>
      <c r="C35" s="8">
        <v>2.4765799463410296</v>
      </c>
      <c r="D35" s="8">
        <v>13.751354166706733</v>
      </c>
      <c r="E35" s="8">
        <v>10.070277777813317</v>
      </c>
      <c r="F35" s="8">
        <v>3.6810763888934162</v>
      </c>
    </row>
    <row r="36" spans="2:6">
      <c r="B36">
        <v>29</v>
      </c>
      <c r="C36" s="8">
        <v>2.4975948718170504</v>
      </c>
      <c r="D36" s="8">
        <v>13.827511574083474</v>
      </c>
      <c r="E36" s="8">
        <v>10.663171296306245</v>
      </c>
      <c r="F36" s="8">
        <v>3.164340277777228</v>
      </c>
    </row>
    <row r="37" spans="2:6">
      <c r="B37">
        <v>30</v>
      </c>
      <c r="C37" s="8">
        <v>2.4666044197610208</v>
      </c>
      <c r="D37" s="8">
        <v>15.280532407428836</v>
      </c>
      <c r="E37" s="8">
        <v>13.386006944470864</v>
      </c>
      <c r="F37" s="8">
        <v>1.8945254629579722</v>
      </c>
    </row>
    <row r="38" spans="2:6">
      <c r="B38">
        <v>31</v>
      </c>
      <c r="C38" s="8">
        <v>2.5466234711972531</v>
      </c>
      <c r="D38" s="8">
        <v>14.399513888907677</v>
      </c>
      <c r="E38" s="8">
        <v>12.861284722239361</v>
      </c>
      <c r="F38" s="8">
        <v>1.5382291666683159</v>
      </c>
    </row>
    <row r="39" spans="2:6">
      <c r="B39">
        <v>32</v>
      </c>
      <c r="C39" s="8">
        <v>2.48250320339791</v>
      </c>
      <c r="D39" s="8">
        <v>15.000706018523488</v>
      </c>
      <c r="E39" s="8">
        <v>11.026504629633564</v>
      </c>
      <c r="F39" s="8">
        <v>3.9742013888899237</v>
      </c>
    </row>
    <row r="40" spans="2:6">
      <c r="B40">
        <v>33</v>
      </c>
      <c r="C40" s="8">
        <v>2.488649755862423</v>
      </c>
      <c r="D40" s="8">
        <v>13.357812499976717</v>
      </c>
      <c r="E40" s="8">
        <v>8.2912499999874854</v>
      </c>
      <c r="F40" s="8">
        <v>5.0665624999892316</v>
      </c>
    </row>
    <row r="41" spans="2:6">
      <c r="B41">
        <v>34</v>
      </c>
      <c r="C41" s="8">
        <v>2.4782032571414643</v>
      </c>
      <c r="D41" s="8">
        <v>5.9967476851743413</v>
      </c>
      <c r="E41" s="8">
        <v>2.8028935185138835</v>
      </c>
      <c r="F41" s="8">
        <v>3.1938541666604578</v>
      </c>
    </row>
    <row r="42" spans="2:6">
      <c r="B42">
        <v>35</v>
      </c>
      <c r="C42" s="8">
        <v>2.5270203600869743</v>
      </c>
      <c r="D42" s="8">
        <v>17.898055555531755</v>
      </c>
      <c r="E42" s="8">
        <v>15.051284722219862</v>
      </c>
      <c r="F42" s="8">
        <v>2.8467708333118935</v>
      </c>
    </row>
    <row r="43" spans="2:6">
      <c r="B43">
        <v>36</v>
      </c>
      <c r="C43" s="8">
        <v>2.5226196708018822</v>
      </c>
      <c r="D43" s="8">
        <v>12.62060185187147</v>
      </c>
      <c r="E43" s="8">
        <v>6.6801620370533783</v>
      </c>
      <c r="F43" s="8">
        <v>5.9404398148180917</v>
      </c>
    </row>
    <row r="44" spans="2:6">
      <c r="B44">
        <v>37</v>
      </c>
      <c r="C44" s="8">
        <v>2.4572972846215126</v>
      </c>
      <c r="D44" s="8">
        <v>17.161273148136388</v>
      </c>
      <c r="E44" s="8">
        <v>14.289189814808196</v>
      </c>
      <c r="F44" s="8">
        <v>2.8720833333281917</v>
      </c>
    </row>
    <row r="45" spans="2:6">
      <c r="B45">
        <v>38</v>
      </c>
      <c r="C45" s="8">
        <v>2.4628240401168875</v>
      </c>
      <c r="D45" s="8">
        <v>12.617511574084347</v>
      </c>
      <c r="E45" s="8">
        <v>8.2328472222361597</v>
      </c>
      <c r="F45" s="8">
        <v>4.3846643518481869</v>
      </c>
    </row>
    <row r="46" spans="2:6">
      <c r="B46">
        <v>39</v>
      </c>
      <c r="C46" s="8">
        <v>2.5163002332172018</v>
      </c>
      <c r="D46" s="8">
        <v>13.06430555555562</v>
      </c>
      <c r="E46" s="8">
        <v>9.4931250000008731</v>
      </c>
      <c r="F46" s="8">
        <v>3.5711805555547471</v>
      </c>
    </row>
    <row r="47" spans="2:6">
      <c r="B47">
        <v>40</v>
      </c>
      <c r="C47" s="8">
        <v>2.5163420136240053</v>
      </c>
      <c r="D47" s="8">
        <v>15.209212962945458</v>
      </c>
      <c r="E47" s="8">
        <v>13.136817129634437</v>
      </c>
      <c r="F47" s="8">
        <v>2.0723958333110204</v>
      </c>
    </row>
    <row r="48" spans="2:6">
      <c r="B48">
        <v>41</v>
      </c>
      <c r="C48" s="8">
        <v>2.4873868157982386</v>
      </c>
      <c r="D48" s="8">
        <v>16.399374999986321</v>
      </c>
      <c r="E48" s="8">
        <v>11.926354166658712</v>
      </c>
      <c r="F48" s="8">
        <v>4.4730208333276096</v>
      </c>
    </row>
    <row r="49" spans="2:6">
      <c r="B49">
        <v>42</v>
      </c>
      <c r="C49" s="8">
        <v>2.48921708074423</v>
      </c>
      <c r="D49" s="8">
        <v>13.101331018522615</v>
      </c>
      <c r="E49" s="8">
        <v>7.9142476851920947</v>
      </c>
      <c r="F49" s="8">
        <v>5.18708333333052</v>
      </c>
    </row>
    <row r="50" spans="2:6">
      <c r="B50">
        <v>43</v>
      </c>
      <c r="C50" s="8">
        <v>2.4664299477604681</v>
      </c>
      <c r="D50" s="8">
        <v>13.837511574085511</v>
      </c>
      <c r="E50" s="8">
        <v>12.736990740741021</v>
      </c>
      <c r="F50" s="8">
        <v>1.1005208333444898</v>
      </c>
    </row>
    <row r="51" spans="2:6">
      <c r="B51">
        <v>44</v>
      </c>
      <c r="C51" s="8">
        <v>2.5052688612025005</v>
      </c>
      <c r="D51" s="8">
        <v>14.232083333350602</v>
      </c>
      <c r="E51" s="8">
        <v>10.619756944463006</v>
      </c>
      <c r="F51" s="8">
        <v>3.6123263888875954</v>
      </c>
    </row>
    <row r="52" spans="2:6">
      <c r="B52">
        <v>45</v>
      </c>
      <c r="C52" s="8">
        <v>2.4694583788191649</v>
      </c>
      <c r="D52" s="8">
        <v>10.059456018527271</v>
      </c>
      <c r="E52" s="8">
        <v>7.0725694444481633</v>
      </c>
      <c r="F52" s="8">
        <v>2.986886574079108</v>
      </c>
    </row>
    <row r="53" spans="2:6">
      <c r="B53">
        <v>46</v>
      </c>
      <c r="C53" s="8">
        <v>2.5013534538897888</v>
      </c>
      <c r="D53" s="8">
        <v>18.313900462977472</v>
      </c>
      <c r="E53" s="8">
        <v>14.10504629631032</v>
      </c>
      <c r="F53" s="8">
        <v>4.2088541666671517</v>
      </c>
    </row>
    <row r="54" spans="2:6">
      <c r="B54">
        <v>47</v>
      </c>
      <c r="C54" s="8">
        <v>2.4921473700658963</v>
      </c>
      <c r="D54" s="8">
        <v>8.9216319444240071</v>
      </c>
      <c r="E54" s="8">
        <v>8.1115509259179817</v>
      </c>
      <c r="F54" s="8">
        <v>0.81008101850602543</v>
      </c>
    </row>
    <row r="55" spans="2:6">
      <c r="B55">
        <v>48</v>
      </c>
      <c r="C55" s="8">
        <v>2.5301020991951306</v>
      </c>
      <c r="D55" s="8">
        <v>16.194861111129285</v>
      </c>
      <c r="E55" s="8">
        <v>10.529131944444089</v>
      </c>
      <c r="F55" s="8">
        <v>5.6657291666851961</v>
      </c>
    </row>
    <row r="56" spans="2:6">
      <c r="B56">
        <v>49</v>
      </c>
      <c r="C56" s="8">
        <v>2.4791127196690885</v>
      </c>
      <c r="D56" s="8">
        <v>14.230949074059026</v>
      </c>
      <c r="E56" s="8">
        <v>11.754814814790734</v>
      </c>
      <c r="F56" s="8">
        <v>2.4761342592682922</v>
      </c>
    </row>
    <row r="57" spans="2:6">
      <c r="B57">
        <v>50</v>
      </c>
      <c r="C57" s="8">
        <v>2.4938143958190739</v>
      </c>
      <c r="D57" s="8">
        <v>10.613807870373421</v>
      </c>
      <c r="E57" s="8">
        <v>7.6543865740750334</v>
      </c>
      <c r="F57" s="8">
        <v>2.9594212962983875</v>
      </c>
    </row>
    <row r="58" spans="2:6">
      <c r="B58">
        <v>51</v>
      </c>
      <c r="C58" s="8">
        <v>2.511621713896643</v>
      </c>
      <c r="D58" s="8">
        <v>15.513321759266546</v>
      </c>
      <c r="E58" s="8">
        <v>13.851203703707142</v>
      </c>
      <c r="F58" s="8">
        <v>1.6621180555594037</v>
      </c>
    </row>
    <row r="59" spans="2:6">
      <c r="B59">
        <v>52</v>
      </c>
      <c r="C59" s="8">
        <v>2.4831469570357316</v>
      </c>
      <c r="D59" s="8">
        <v>14.963703703702777</v>
      </c>
      <c r="E59" s="8">
        <v>11.318900462982128</v>
      </c>
      <c r="F59" s="8">
        <v>3.6448032407206483</v>
      </c>
    </row>
    <row r="60" spans="2:6">
      <c r="B60">
        <v>53</v>
      </c>
      <c r="C60" s="8">
        <v>2.4817910513988877</v>
      </c>
      <c r="D60" s="8">
        <v>12.803888888891379</v>
      </c>
      <c r="E60" s="8">
        <v>8.00230324074073</v>
      </c>
      <c r="F60" s="8">
        <v>4.8015856481506489</v>
      </c>
    </row>
    <row r="61" spans="2:6">
      <c r="B61">
        <v>54</v>
      </c>
      <c r="C61" s="8">
        <v>2.530342503259535</v>
      </c>
      <c r="D61" s="8">
        <v>17.972719907389546</v>
      </c>
      <c r="E61" s="8">
        <v>17.125891203686479</v>
      </c>
      <c r="F61" s="8">
        <v>0.84682870370306773</v>
      </c>
    </row>
    <row r="62" spans="2:6">
      <c r="B62">
        <v>55</v>
      </c>
      <c r="C62" s="8">
        <v>2.485919418335353</v>
      </c>
      <c r="D62" s="8">
        <v>9.8644907407506253</v>
      </c>
      <c r="E62" s="8">
        <v>6.6219791666662786</v>
      </c>
      <c r="F62" s="8">
        <v>3.2425115740843466</v>
      </c>
    </row>
    <row r="63" spans="2:6">
      <c r="B63">
        <v>56</v>
      </c>
      <c r="C63" s="8">
        <v>2.4967380883847392</v>
      </c>
      <c r="D63" s="8">
        <v>12.063923611145583</v>
      </c>
      <c r="E63" s="8">
        <v>11.333946759281389</v>
      </c>
      <c r="F63" s="8">
        <v>0.72997685186419403</v>
      </c>
    </row>
    <row r="64" spans="2:6">
      <c r="B64">
        <v>57</v>
      </c>
      <c r="C64" s="8">
        <v>2.5151282865694373</v>
      </c>
      <c r="D64" s="8">
        <v>15.965347222219862</v>
      </c>
      <c r="E64" s="8">
        <v>14.401134259249375</v>
      </c>
      <c r="F64" s="8">
        <v>1.5642129629704868</v>
      </c>
    </row>
    <row r="65" spans="2:6">
      <c r="B65">
        <v>58</v>
      </c>
      <c r="C65" s="8">
        <v>2.4744469832908877</v>
      </c>
      <c r="D65" s="8">
        <v>10.180370370355377</v>
      </c>
      <c r="E65" s="8">
        <v>7.0868518518400379</v>
      </c>
      <c r="F65" s="8">
        <v>3.0935185185153387</v>
      </c>
    </row>
    <row r="66" spans="2:6">
      <c r="B66">
        <v>59</v>
      </c>
      <c r="C66" s="8">
        <v>2.4864056768999849</v>
      </c>
      <c r="D66" s="8">
        <v>14.676643518483615</v>
      </c>
      <c r="E66" s="8">
        <v>12.512835648129112</v>
      </c>
      <c r="F66" s="8">
        <v>2.1638078703545034</v>
      </c>
    </row>
    <row r="67" spans="2:6">
      <c r="B67">
        <v>60</v>
      </c>
      <c r="C67" s="8">
        <v>2.4863424843326349</v>
      </c>
      <c r="D67" s="8">
        <v>10.982685185183072</v>
      </c>
      <c r="E67" s="8">
        <v>7.322789351848769</v>
      </c>
      <c r="F67" s="8">
        <v>3.6598958333343035</v>
      </c>
    </row>
    <row r="68" spans="2:6">
      <c r="B68">
        <v>61</v>
      </c>
      <c r="C68" s="8">
        <v>2.5253420181325299</v>
      </c>
      <c r="D68" s="8">
        <v>10.568634259267128</v>
      </c>
      <c r="E68" s="8">
        <v>9.8370833333392511</v>
      </c>
      <c r="F68" s="8">
        <v>0.73155092592787696</v>
      </c>
    </row>
    <row r="69" spans="2:6">
      <c r="B69">
        <v>62</v>
      </c>
      <c r="C69" s="8">
        <v>2.5245719597165057</v>
      </c>
      <c r="D69" s="8">
        <v>8.7802430555675528</v>
      </c>
      <c r="E69" s="8">
        <v>5.7720949074137025</v>
      </c>
      <c r="F69" s="8">
        <v>3.0081481481538503</v>
      </c>
    </row>
    <row r="70" spans="2:6">
      <c r="B70">
        <v>63</v>
      </c>
      <c r="C70" s="8">
        <v>2.469898904051588</v>
      </c>
      <c r="D70" s="8">
        <v>16.721296296287619</v>
      </c>
      <c r="E70" s="8">
        <v>15.446354166662786</v>
      </c>
      <c r="F70" s="8">
        <v>1.2749421296248329</v>
      </c>
    </row>
    <row r="71" spans="2:6">
      <c r="B71">
        <v>64</v>
      </c>
      <c r="C71" s="8">
        <v>2.4958159298358762</v>
      </c>
      <c r="D71" s="8">
        <v>10.533935185194423</v>
      </c>
      <c r="E71" s="8">
        <v>6.6148032407509163</v>
      </c>
      <c r="F71" s="8">
        <v>3.9191319444435067</v>
      </c>
    </row>
    <row r="72" spans="2:6">
      <c r="B72">
        <v>65</v>
      </c>
      <c r="C72" s="8">
        <v>2.4606649381996522</v>
      </c>
      <c r="D72" s="8">
        <v>5.4698726851929678</v>
      </c>
      <c r="E72" s="8">
        <v>4.4359722222288838</v>
      </c>
      <c r="F72" s="8">
        <v>1.033900462964084</v>
      </c>
    </row>
    <row r="73" spans="2:6">
      <c r="B73">
        <v>66</v>
      </c>
      <c r="C73" s="8">
        <v>2.4857367457476274</v>
      </c>
      <c r="D73" s="8">
        <v>11.249050925944175</v>
      </c>
      <c r="E73" s="8">
        <v>7.4676851851909305</v>
      </c>
      <c r="F73" s="8">
        <v>3.7813657407532446</v>
      </c>
    </row>
    <row r="74" spans="2:6">
      <c r="B74">
        <v>67</v>
      </c>
      <c r="C74" s="8">
        <v>2.4651357958371225</v>
      </c>
      <c r="D74" s="8">
        <v>16.701412037036789</v>
      </c>
      <c r="E74" s="8">
        <v>12.785787037035334</v>
      </c>
      <c r="F74" s="8">
        <v>3.9156250000014552</v>
      </c>
    </row>
    <row r="75" spans="2:6">
      <c r="B75">
        <v>68</v>
      </c>
      <c r="C75" s="8">
        <v>2.4974119713951684</v>
      </c>
      <c r="D75" s="8">
        <v>11.542789351857209</v>
      </c>
      <c r="E75" s="8">
        <v>7.1559953703690553</v>
      </c>
      <c r="F75" s="8">
        <v>4.3867939814881538</v>
      </c>
    </row>
    <row r="76" spans="2:6">
      <c r="B76">
        <v>69</v>
      </c>
      <c r="C76" s="8">
        <v>2.4669322947509396</v>
      </c>
      <c r="D76" s="8">
        <v>11.014467592591245</v>
      </c>
      <c r="E76" s="8">
        <v>7.7458217592720757</v>
      </c>
      <c r="F76" s="8">
        <v>3.2686458333191695</v>
      </c>
    </row>
    <row r="77" spans="2:6">
      <c r="B77">
        <v>70</v>
      </c>
      <c r="C77" s="8">
        <v>2.4995213093814139</v>
      </c>
      <c r="D77" s="8">
        <v>21.694456018522033</v>
      </c>
      <c r="E77" s="8">
        <v>20.441689814826532</v>
      </c>
      <c r="F77" s="8">
        <v>1.2527662036955007</v>
      </c>
    </row>
    <row r="78" spans="2:6">
      <c r="B78">
        <v>71</v>
      </c>
      <c r="C78" s="8">
        <v>2.4925746021386019</v>
      </c>
      <c r="D78" s="8">
        <v>16.179178240738111</v>
      </c>
      <c r="E78" s="8">
        <v>13.51596064815385</v>
      </c>
      <c r="F78" s="8">
        <v>2.6632175925842603</v>
      </c>
    </row>
    <row r="79" spans="2:6">
      <c r="B79">
        <v>72</v>
      </c>
      <c r="C79" s="8">
        <v>2.554588716154865</v>
      </c>
      <c r="D79" s="8">
        <v>19.05384259258426</v>
      </c>
      <c r="E79" s="8">
        <v>13.448310185172886</v>
      </c>
      <c r="F79" s="8">
        <v>5.6055324074113742</v>
      </c>
    </row>
    <row r="80" spans="2:6">
      <c r="B80">
        <v>73</v>
      </c>
      <c r="C80" s="8">
        <v>2.5535098268015108</v>
      </c>
      <c r="D80" s="8">
        <v>18.298449074085511</v>
      </c>
      <c r="E80" s="8">
        <v>14.37961805555824</v>
      </c>
      <c r="F80" s="8">
        <v>3.9188310185272712</v>
      </c>
    </row>
    <row r="81" spans="2:6">
      <c r="B81">
        <v>74</v>
      </c>
      <c r="C81" s="8">
        <v>2.4866773735421499</v>
      </c>
      <c r="D81" s="8">
        <v>18.089097222240525</v>
      </c>
      <c r="E81" s="8">
        <v>10.093171296321088</v>
      </c>
      <c r="F81" s="8">
        <v>7.9959259259194368</v>
      </c>
    </row>
    <row r="82" spans="2:6">
      <c r="B82">
        <v>75</v>
      </c>
      <c r="C82" s="8">
        <v>2.5603369474755282</v>
      </c>
      <c r="D82" s="8">
        <v>8.0025000000023283</v>
      </c>
      <c r="E82" s="8">
        <v>7.1473842592531582</v>
      </c>
      <c r="F82" s="8">
        <v>0.85511574074917007</v>
      </c>
    </row>
    <row r="83" spans="2:6">
      <c r="B83">
        <v>76</v>
      </c>
      <c r="C83" s="8">
        <v>2.4602773566535485</v>
      </c>
      <c r="D83" s="8">
        <v>17.436921296306537</v>
      </c>
      <c r="E83" s="8">
        <v>13.097337962979509</v>
      </c>
      <c r="F83" s="8">
        <v>4.3395833333270275</v>
      </c>
    </row>
    <row r="84" spans="2:6">
      <c r="B84">
        <v>77</v>
      </c>
      <c r="C84" s="8">
        <v>2.4528428912736824</v>
      </c>
      <c r="D84" s="8">
        <v>7.7123495370324235</v>
      </c>
      <c r="E84" s="8">
        <v>4.4231249999938882</v>
      </c>
      <c r="F84" s="8">
        <v>3.2892245370385353</v>
      </c>
    </row>
    <row r="85" spans="2:6">
      <c r="B85">
        <v>78</v>
      </c>
      <c r="C85" s="8">
        <v>2.4812277805839011</v>
      </c>
      <c r="D85" s="8">
        <v>15.964710648186156</v>
      </c>
      <c r="E85" s="8">
        <v>12.74539351855492</v>
      </c>
      <c r="F85" s="8">
        <v>3.2193171296312357</v>
      </c>
    </row>
    <row r="86" spans="2:6">
      <c r="B86">
        <v>79</v>
      </c>
      <c r="C86" s="8">
        <v>2.4556447938822257</v>
      </c>
      <c r="D86" s="8">
        <v>10.730335648164328</v>
      </c>
      <c r="E86" s="8">
        <v>5.0346180555643514</v>
      </c>
      <c r="F86" s="8">
        <v>5.6957175925999763</v>
      </c>
    </row>
    <row r="87" spans="2:6">
      <c r="B87">
        <v>80</v>
      </c>
      <c r="C87" s="8">
        <v>2.516129951590099</v>
      </c>
      <c r="D87" s="8">
        <v>7.9975115740598994</v>
      </c>
      <c r="E87" s="8">
        <v>7.2357638888715883</v>
      </c>
      <c r="F87" s="8">
        <v>0.76174768518831115</v>
      </c>
    </row>
    <row r="88" spans="2:6">
      <c r="B88">
        <v>81</v>
      </c>
      <c r="C88" s="8">
        <v>2.56461089576664</v>
      </c>
      <c r="D88" s="8">
        <v>21.326782407391875</v>
      </c>
      <c r="E88" s="8">
        <v>14.571076388871006</v>
      </c>
      <c r="F88" s="8">
        <v>6.7557060185208684</v>
      </c>
    </row>
    <row r="89" spans="2:6">
      <c r="B89">
        <v>82</v>
      </c>
      <c r="C89" s="8">
        <v>2.5363983146502211</v>
      </c>
      <c r="D89" s="8">
        <v>13.898622685184819</v>
      </c>
      <c r="E89" s="8">
        <v>8.5460532407450955</v>
      </c>
      <c r="F89" s="8">
        <v>5.3525694444397232</v>
      </c>
    </row>
    <row r="90" spans="2:6">
      <c r="B90">
        <v>83</v>
      </c>
      <c r="C90" s="8">
        <v>2.4739606028916219</v>
      </c>
      <c r="D90" s="8">
        <v>12.648657407400606</v>
      </c>
      <c r="E90" s="8">
        <v>8.7140740740724141</v>
      </c>
      <c r="F90" s="8">
        <v>3.9345833333281917</v>
      </c>
    </row>
    <row r="91" spans="2:6">
      <c r="B91">
        <v>84</v>
      </c>
      <c r="C91" s="8">
        <v>2.4887842765940591</v>
      </c>
      <c r="D91" s="8">
        <v>16.351608796285291</v>
      </c>
      <c r="E91" s="8">
        <v>9.6594791666720994</v>
      </c>
      <c r="F91" s="8">
        <v>6.6921296296131914</v>
      </c>
    </row>
    <row r="92" spans="2:6">
      <c r="B92">
        <v>85</v>
      </c>
      <c r="C92" s="8">
        <v>2.4709237587086834</v>
      </c>
      <c r="D92" s="8">
        <v>10.217199074068049</v>
      </c>
      <c r="E92" s="8">
        <v>8.6470601851760875</v>
      </c>
      <c r="F92" s="8">
        <v>1.570138888891961</v>
      </c>
    </row>
    <row r="93" spans="2:6">
      <c r="B93">
        <v>86</v>
      </c>
      <c r="C93" s="8">
        <v>2.493746817810619</v>
      </c>
      <c r="D93" s="8">
        <v>16.128310185180453</v>
      </c>
      <c r="E93" s="8">
        <v>14.182106481472147</v>
      </c>
      <c r="F93" s="8">
        <v>1.9462037037083064</v>
      </c>
    </row>
    <row r="94" spans="2:6">
      <c r="B94">
        <v>87</v>
      </c>
      <c r="C94" s="8">
        <v>2.5253442930626484</v>
      </c>
      <c r="D94" s="8">
        <v>15.29143518517958</v>
      </c>
      <c r="E94" s="8">
        <v>9.5540393518458586</v>
      </c>
      <c r="F94" s="8">
        <v>5.7373958333337214</v>
      </c>
    </row>
    <row r="95" spans="2:6">
      <c r="B95">
        <v>88</v>
      </c>
      <c r="C95" s="8">
        <v>2.5107891047043331</v>
      </c>
      <c r="D95" s="8">
        <v>12.612696759249957</v>
      </c>
      <c r="E95" s="8">
        <v>9.1753935185042792</v>
      </c>
      <c r="F95" s="8">
        <v>3.4373032407456776</v>
      </c>
    </row>
    <row r="96" spans="2:6">
      <c r="B96">
        <v>89</v>
      </c>
      <c r="C96" s="8">
        <v>2.508911114747336</v>
      </c>
      <c r="D96" s="8">
        <v>18.69718749999447</v>
      </c>
      <c r="E96" s="8">
        <v>13.166678240733745</v>
      </c>
      <c r="F96" s="8">
        <v>5.5305092592607252</v>
      </c>
    </row>
    <row r="97" spans="2:6">
      <c r="B97">
        <v>90</v>
      </c>
      <c r="C97" s="8">
        <v>2.5083025084236383</v>
      </c>
      <c r="D97" s="8">
        <v>14.967511574075615</v>
      </c>
      <c r="E97" s="8">
        <v>6.1750347222259734</v>
      </c>
      <c r="F97" s="8">
        <v>8.7924768518496421</v>
      </c>
    </row>
    <row r="98" spans="2:6">
      <c r="B98">
        <v>91</v>
      </c>
      <c r="C98" s="8">
        <v>2.4813931885623566</v>
      </c>
      <c r="D98" s="8">
        <v>16.204571759255487</v>
      </c>
      <c r="E98" s="8">
        <v>10.33675925926218</v>
      </c>
      <c r="F98" s="8">
        <v>5.8678124999933061</v>
      </c>
    </row>
    <row r="99" spans="2:6">
      <c r="B99">
        <v>92</v>
      </c>
      <c r="C99" s="8">
        <v>2.5221984155981629</v>
      </c>
      <c r="D99" s="8">
        <v>14.30483796295448</v>
      </c>
      <c r="E99" s="8">
        <v>11.87578703701729</v>
      </c>
      <c r="F99" s="8">
        <v>2.4290509259371902</v>
      </c>
    </row>
    <row r="100" spans="2:6">
      <c r="B100">
        <v>93</v>
      </c>
      <c r="C100" s="8">
        <v>2.4598039295255827</v>
      </c>
      <c r="D100" s="8">
        <v>7.1442476851952961</v>
      </c>
      <c r="E100" s="8">
        <v>5.016006944453693</v>
      </c>
      <c r="F100" s="8">
        <v>2.1282407407416031</v>
      </c>
    </row>
    <row r="101" spans="2:6">
      <c r="B101">
        <v>94</v>
      </c>
      <c r="C101" s="8">
        <v>2.5242767683929861</v>
      </c>
      <c r="D101" s="8">
        <v>11.839097222218697</v>
      </c>
      <c r="E101" s="8">
        <v>9.6993287036893889</v>
      </c>
      <c r="F101" s="8">
        <v>2.1397685185293085</v>
      </c>
    </row>
    <row r="102" spans="2:6">
      <c r="B102">
        <v>95</v>
      </c>
      <c r="C102" s="8">
        <v>2.4811140968530392</v>
      </c>
      <c r="D102" s="8">
        <v>10.260474537040864</v>
      </c>
      <c r="E102" s="8">
        <v>7.5949537037158734</v>
      </c>
      <c r="F102" s="8">
        <v>2.6655208333249902</v>
      </c>
    </row>
    <row r="103" spans="2:6">
      <c r="B103">
        <v>96</v>
      </c>
      <c r="C103" s="8">
        <v>2.5160431561142955</v>
      </c>
      <c r="D103" s="8">
        <v>16.110740740761685</v>
      </c>
      <c r="E103" s="8">
        <v>13.919004629649862</v>
      </c>
      <c r="F103" s="8">
        <v>2.1917361111118225</v>
      </c>
    </row>
    <row r="104" spans="2:6">
      <c r="B104">
        <v>97</v>
      </c>
      <c r="C104" s="8">
        <v>2.5189187284932122</v>
      </c>
      <c r="D104" s="8">
        <v>10.918240740742476</v>
      </c>
      <c r="E104" s="8">
        <v>10.413738425922929</v>
      </c>
      <c r="F104" s="8">
        <v>0.50450231481954688</v>
      </c>
    </row>
    <row r="105" spans="2:6">
      <c r="B105">
        <v>98</v>
      </c>
      <c r="C105" s="8">
        <v>2.4357226523782574</v>
      </c>
      <c r="D105" s="8">
        <v>13.326145833343617</v>
      </c>
      <c r="E105" s="8">
        <v>10.437314814829733</v>
      </c>
      <c r="F105" s="8">
        <v>2.8888310185138835</v>
      </c>
    </row>
    <row r="106" spans="2:6">
      <c r="B106">
        <v>99</v>
      </c>
      <c r="C106" s="8">
        <v>2.4945487282282786</v>
      </c>
      <c r="D106" s="8">
        <v>12.450243055543979</v>
      </c>
      <c r="E106" s="8">
        <v>10.33328703702864</v>
      </c>
      <c r="F106" s="8">
        <v>2.1169560185153387</v>
      </c>
    </row>
    <row r="107" spans="2:6">
      <c r="B107">
        <v>100</v>
      </c>
      <c r="C107" s="8">
        <v>2.5466243735213427</v>
      </c>
      <c r="D107" s="8">
        <v>16.893287037062692</v>
      </c>
      <c r="E107" s="8">
        <v>10.507731481498922</v>
      </c>
      <c r="F107" s="8">
        <v>6.3855555555637693</v>
      </c>
    </row>
    <row r="108" spans="2:6">
      <c r="B108">
        <v>101</v>
      </c>
      <c r="C108" s="8">
        <v>2.4895018301590945</v>
      </c>
      <c r="D108" s="8">
        <v>14.893622685180162</v>
      </c>
      <c r="E108" s="8">
        <v>12.534999999996217</v>
      </c>
      <c r="F108" s="8">
        <v>2.3586226851839456</v>
      </c>
    </row>
    <row r="109" spans="2:6">
      <c r="B109">
        <v>102</v>
      </c>
      <c r="C109" s="8">
        <v>2.4218344561203149</v>
      </c>
      <c r="D109" s="8">
        <v>13.127569444441178</v>
      </c>
      <c r="E109" s="8">
        <v>12.412361111113569</v>
      </c>
      <c r="F109" s="8">
        <v>0.71520833332760958</v>
      </c>
    </row>
    <row r="110" spans="2:6">
      <c r="B110">
        <v>103</v>
      </c>
      <c r="C110" s="8">
        <v>2.4917520083925795</v>
      </c>
      <c r="D110" s="8">
        <v>12.718749999985448</v>
      </c>
      <c r="E110" s="8">
        <v>7.9735300925676711</v>
      </c>
      <c r="F110" s="8">
        <v>4.745219907417777</v>
      </c>
    </row>
    <row r="111" spans="2:6">
      <c r="B111">
        <v>104</v>
      </c>
      <c r="C111" s="8">
        <v>2.5325838987317106</v>
      </c>
      <c r="D111" s="8">
        <v>21.912129629614356</v>
      </c>
      <c r="E111" s="8">
        <v>17.141701388871297</v>
      </c>
      <c r="F111" s="8">
        <v>4.7704282407430583</v>
      </c>
    </row>
    <row r="112" spans="2:6">
      <c r="B112">
        <v>105</v>
      </c>
      <c r="C112" s="8">
        <v>2.4691233146448717</v>
      </c>
      <c r="D112" s="8">
        <v>10.334490740693582</v>
      </c>
      <c r="E112" s="8">
        <v>6.9000115740418551</v>
      </c>
      <c r="F112" s="8">
        <v>3.4344791666517267</v>
      </c>
    </row>
    <row r="113" spans="2:6">
      <c r="B113">
        <v>106</v>
      </c>
      <c r="C113" s="8">
        <v>2.5218690902598517</v>
      </c>
      <c r="D113" s="8">
        <v>17.026446759213286</v>
      </c>
      <c r="E113" s="8">
        <v>11.202766203663487</v>
      </c>
      <c r="F113" s="8">
        <v>5.8236805555497995</v>
      </c>
    </row>
    <row r="114" spans="2:6">
      <c r="B114">
        <v>107</v>
      </c>
      <c r="C114" s="8">
        <v>2.4952400412418432</v>
      </c>
      <c r="D114" s="8">
        <v>17.510995370372257</v>
      </c>
      <c r="E114" s="8">
        <v>12.466539351844403</v>
      </c>
      <c r="F114" s="8">
        <v>5.0444560185278533</v>
      </c>
    </row>
    <row r="115" spans="2:6">
      <c r="B115">
        <v>108</v>
      </c>
      <c r="C115" s="8">
        <v>2.4502624429338682</v>
      </c>
      <c r="D115" s="8">
        <v>14.384293981485825</v>
      </c>
      <c r="E115" s="8">
        <v>9.1548379629748524</v>
      </c>
      <c r="F115" s="8">
        <v>5.2294560185109731</v>
      </c>
    </row>
    <row r="116" spans="2:6">
      <c r="B116">
        <v>109</v>
      </c>
      <c r="C116" s="8">
        <v>2.4952545806541067</v>
      </c>
      <c r="D116" s="8">
        <v>14.989826388904476</v>
      </c>
      <c r="E116" s="8">
        <v>8.9306481481398805</v>
      </c>
      <c r="F116" s="8">
        <v>6.0591782407645951</v>
      </c>
    </row>
    <row r="117" spans="2:6">
      <c r="B117">
        <v>110</v>
      </c>
      <c r="C117" s="8">
        <v>2.463740561516865</v>
      </c>
      <c r="D117" s="8">
        <v>16.504722222234705</v>
      </c>
      <c r="E117" s="8">
        <v>11.371828703719075</v>
      </c>
      <c r="F117" s="8">
        <v>5.1328935185156297</v>
      </c>
    </row>
    <row r="118" spans="2:6">
      <c r="B118">
        <v>111</v>
      </c>
      <c r="C118" s="8">
        <v>2.4878470624351108</v>
      </c>
      <c r="D118" s="8">
        <v>12.425243055535248</v>
      </c>
      <c r="E118" s="8">
        <v>8.291192129610863</v>
      </c>
      <c r="F118" s="8">
        <v>4.1340509259243845</v>
      </c>
    </row>
    <row r="119" spans="2:6">
      <c r="B119">
        <v>112</v>
      </c>
      <c r="C119" s="8">
        <v>2.4814191673808184</v>
      </c>
      <c r="D119" s="8">
        <v>13.018148148141336</v>
      </c>
      <c r="E119" s="8">
        <v>10.976817129616393</v>
      </c>
      <c r="F119" s="8">
        <v>2.0413310185249429</v>
      </c>
    </row>
    <row r="120" spans="2:6">
      <c r="B120">
        <v>113</v>
      </c>
      <c r="C120" s="8">
        <v>2.4840047282442708</v>
      </c>
      <c r="D120" s="8">
        <v>11.440300925918564</v>
      </c>
      <c r="E120" s="8">
        <v>8.1931597222210257</v>
      </c>
      <c r="F120" s="8">
        <v>3.247141203697538</v>
      </c>
    </row>
    <row r="121" spans="2:6">
      <c r="B121">
        <v>114</v>
      </c>
      <c r="C121" s="8">
        <v>2.4712905977959956</v>
      </c>
      <c r="D121" s="8">
        <v>20.267349537032715</v>
      </c>
      <c r="E121" s="8">
        <v>13.813356481477967</v>
      </c>
      <c r="F121" s="8">
        <v>6.4539930555547471</v>
      </c>
    </row>
    <row r="122" spans="2:6">
      <c r="B122">
        <v>115</v>
      </c>
      <c r="C122" s="8">
        <v>2.4309123710064089</v>
      </c>
      <c r="D122" s="8">
        <v>12.563796296293731</v>
      </c>
      <c r="E122" s="8">
        <v>9.9964930555652245</v>
      </c>
      <c r="F122" s="8">
        <v>2.5673032407285064</v>
      </c>
    </row>
    <row r="123" spans="2:6">
      <c r="B123">
        <v>116</v>
      </c>
      <c r="C123" s="8">
        <v>2.4727240395235075</v>
      </c>
      <c r="D123" s="8">
        <v>13.894872685203154</v>
      </c>
      <c r="E123" s="8">
        <v>8.790000000015425</v>
      </c>
      <c r="F123" s="8">
        <v>5.1048726851877291</v>
      </c>
    </row>
    <row r="124" spans="2:6">
      <c r="B124">
        <v>117</v>
      </c>
      <c r="C124" s="8">
        <v>2.4838828196827536</v>
      </c>
      <c r="D124" s="8">
        <v>12.887442129649571</v>
      </c>
      <c r="E124" s="8">
        <v>11.797245370391465</v>
      </c>
      <c r="F124" s="8">
        <v>1.0901967592581059</v>
      </c>
    </row>
    <row r="125" spans="2:6">
      <c r="B125">
        <v>118</v>
      </c>
      <c r="C125" s="8">
        <v>2.5246366416659125</v>
      </c>
      <c r="D125" s="8">
        <v>13.065208333340706</v>
      </c>
      <c r="E125" s="8">
        <v>12.201192129628907</v>
      </c>
      <c r="F125" s="8">
        <v>0.86401620371179888</v>
      </c>
    </row>
    <row r="126" spans="2:6">
      <c r="B126">
        <v>119</v>
      </c>
      <c r="C126" s="8">
        <v>2.4745708760822218</v>
      </c>
      <c r="D126" s="8">
        <v>15.100381944452238</v>
      </c>
      <c r="E126" s="8">
        <v>11.067337962966121</v>
      </c>
      <c r="F126" s="8">
        <v>4.0330439814861165</v>
      </c>
    </row>
    <row r="127" spans="2:6">
      <c r="B127">
        <v>120</v>
      </c>
      <c r="C127" s="8">
        <v>2.458843979943329</v>
      </c>
      <c r="D127" s="8">
        <v>15.365810185197915</v>
      </c>
      <c r="E127" s="8">
        <v>8.3609953703780775</v>
      </c>
      <c r="F127" s="8">
        <v>7.0048148148198379</v>
      </c>
    </row>
    <row r="128" spans="2:6">
      <c r="B128">
        <v>121</v>
      </c>
      <c r="C128" s="8">
        <v>2.4880381657855954</v>
      </c>
      <c r="D128" s="8">
        <v>21.64466435182112</v>
      </c>
      <c r="E128" s="8">
        <v>15.146990740708134</v>
      </c>
      <c r="F128" s="8">
        <v>6.4976736111129867</v>
      </c>
    </row>
    <row r="129" spans="2:6">
      <c r="B129">
        <v>122</v>
      </c>
      <c r="C129" s="8">
        <v>2.5340485934305939</v>
      </c>
      <c r="D129" s="8">
        <v>19.469212962954771</v>
      </c>
      <c r="E129" s="8">
        <v>17.413923611100472</v>
      </c>
      <c r="F129" s="8">
        <v>2.0552893518542987</v>
      </c>
    </row>
    <row r="130" spans="2:6">
      <c r="B130">
        <v>123</v>
      </c>
      <c r="C130" s="8">
        <v>2.4796833579307709</v>
      </c>
      <c r="D130" s="8">
        <v>12.839988425927004</v>
      </c>
      <c r="E130" s="8">
        <v>9.0936574074075907</v>
      </c>
      <c r="F130" s="8">
        <v>3.7463310185194132</v>
      </c>
    </row>
    <row r="131" spans="2:6">
      <c r="B131">
        <v>124</v>
      </c>
      <c r="C131" s="8">
        <v>2.5118916725462892</v>
      </c>
      <c r="D131" s="8">
        <v>18.622407407419814</v>
      </c>
      <c r="E131" s="8">
        <v>16.717812500013679</v>
      </c>
      <c r="F131" s="8">
        <v>1.9045949074061355</v>
      </c>
    </row>
    <row r="132" spans="2:6">
      <c r="B132">
        <v>125</v>
      </c>
      <c r="C132" s="8">
        <v>2.4718591397432723</v>
      </c>
      <c r="D132" s="8">
        <v>12.860069444417604</v>
      </c>
      <c r="E132" s="8">
        <v>12.11090277776384</v>
      </c>
      <c r="F132" s="8">
        <v>0.74916666665376397</v>
      </c>
    </row>
    <row r="133" spans="2:6">
      <c r="B133">
        <v>126</v>
      </c>
      <c r="C133" s="8">
        <v>2.4839730235210853</v>
      </c>
      <c r="D133" s="8">
        <v>17.907777777778392</v>
      </c>
      <c r="E133" s="8">
        <v>16.158356481493684</v>
      </c>
      <c r="F133" s="8">
        <v>1.7494212962847087</v>
      </c>
    </row>
    <row r="134" spans="2:6">
      <c r="B134">
        <v>127</v>
      </c>
      <c r="C134" s="8">
        <v>2.4881661724699176</v>
      </c>
      <c r="D134" s="8">
        <v>12.836238425916235</v>
      </c>
      <c r="E134" s="8">
        <v>9.4479745370335877</v>
      </c>
      <c r="F134" s="8">
        <v>3.3882638888826477</v>
      </c>
    </row>
    <row r="135" spans="2:6">
      <c r="B135">
        <v>128</v>
      </c>
      <c r="C135" s="8">
        <v>2.4997957482693773</v>
      </c>
      <c r="D135" s="8">
        <v>11.043969907404971</v>
      </c>
      <c r="E135" s="8">
        <v>8.2367939814721467</v>
      </c>
      <c r="F135" s="8">
        <v>2.8071759259328246</v>
      </c>
    </row>
    <row r="136" spans="2:6">
      <c r="B136">
        <v>129</v>
      </c>
      <c r="C136" s="8">
        <v>2.486294641290693</v>
      </c>
      <c r="D136" s="8">
        <v>11.901018518517958</v>
      </c>
      <c r="E136" s="8">
        <v>7.7636458333217888</v>
      </c>
      <c r="F136" s="8">
        <v>4.1373726851961692</v>
      </c>
    </row>
    <row r="137" spans="2:6">
      <c r="B137">
        <v>130</v>
      </c>
      <c r="C137" s="8">
        <v>2.45560458341809</v>
      </c>
      <c r="D137" s="8">
        <v>12.217013888890506</v>
      </c>
      <c r="E137" s="8">
        <v>10.384097222224227</v>
      </c>
      <c r="F137" s="8">
        <v>1.8329166666662786</v>
      </c>
    </row>
    <row r="138" spans="2:6">
      <c r="B138">
        <v>131</v>
      </c>
      <c r="C138" s="8">
        <v>2.5051238763835659</v>
      </c>
      <c r="D138" s="8">
        <v>26.436967592599103</v>
      </c>
      <c r="E138" s="8">
        <v>17.77196759259823</v>
      </c>
      <c r="F138" s="8">
        <v>8.6650000000008731</v>
      </c>
    </row>
    <row r="139" spans="2:6">
      <c r="B139">
        <v>132</v>
      </c>
      <c r="C139" s="8">
        <v>2.5181193335527734</v>
      </c>
      <c r="D139" s="8">
        <v>18.349733796305372</v>
      </c>
      <c r="E139" s="8">
        <v>9.9322800926020136</v>
      </c>
      <c r="F139" s="8">
        <v>8.4174537037033588</v>
      </c>
    </row>
    <row r="140" spans="2:6">
      <c r="B140">
        <v>133</v>
      </c>
      <c r="C140" s="8">
        <v>2.4672090367142969</v>
      </c>
      <c r="D140" s="8">
        <v>16.131423611121136</v>
      </c>
      <c r="E140" s="8">
        <v>9.7947685185281443</v>
      </c>
      <c r="F140" s="8">
        <v>6.3366550925929914</v>
      </c>
    </row>
    <row r="141" spans="2:6">
      <c r="B141">
        <v>134</v>
      </c>
      <c r="C141" s="8">
        <v>2.4765756033444357</v>
      </c>
      <c r="D141" s="8">
        <v>9.0409606481844094</v>
      </c>
      <c r="E141" s="8">
        <v>6.748877314843412</v>
      </c>
      <c r="F141" s="8">
        <v>2.2920833333409973</v>
      </c>
    </row>
    <row r="142" spans="2:6">
      <c r="B142">
        <v>135</v>
      </c>
      <c r="C142" s="8">
        <v>2.5544603941335042</v>
      </c>
      <c r="D142" s="8">
        <v>23.523287037016416</v>
      </c>
      <c r="E142" s="8">
        <v>17.652731481459341</v>
      </c>
      <c r="F142" s="8">
        <v>5.8705555555570754</v>
      </c>
    </row>
    <row r="143" spans="2:6">
      <c r="B143">
        <v>136</v>
      </c>
      <c r="C143" s="8">
        <v>2.4620549739174287</v>
      </c>
      <c r="D143" s="8">
        <v>9.1642824074151576</v>
      </c>
      <c r="E143" s="8">
        <v>5.6545254629672854</v>
      </c>
      <c r="F143" s="8">
        <v>3.5097569444478722</v>
      </c>
    </row>
    <row r="144" spans="2:6">
      <c r="B144">
        <v>137</v>
      </c>
      <c r="C144" s="8">
        <v>2.4738032108422376</v>
      </c>
      <c r="D144" s="8">
        <v>21.108831018507772</v>
      </c>
      <c r="E144" s="8">
        <v>17.890497685177252</v>
      </c>
      <c r="F144" s="8">
        <v>3.21833333333052</v>
      </c>
    </row>
    <row r="145" spans="2:6">
      <c r="B145">
        <v>138</v>
      </c>
      <c r="C145" s="8">
        <v>2.481849937431214</v>
      </c>
      <c r="D145" s="8">
        <v>10.085694444424007</v>
      </c>
      <c r="E145" s="8">
        <v>7.3478240740441834</v>
      </c>
      <c r="F145" s="8">
        <v>2.7378703703798237</v>
      </c>
    </row>
    <row r="146" spans="2:6">
      <c r="B146">
        <v>139</v>
      </c>
      <c r="C146" s="8">
        <v>2.5197525181931315</v>
      </c>
      <c r="D146" s="8">
        <v>15.53141203699488</v>
      </c>
      <c r="E146" s="8">
        <v>13.179444444409455</v>
      </c>
      <c r="F146" s="8">
        <v>2.3519675925854244</v>
      </c>
    </row>
    <row r="147" spans="2:6">
      <c r="B147">
        <v>140</v>
      </c>
      <c r="C147" s="8">
        <v>2.4589868452659123</v>
      </c>
      <c r="D147" s="8">
        <v>12.013888888890506</v>
      </c>
      <c r="E147" s="8">
        <v>10.582407407404389</v>
      </c>
      <c r="F147" s="8">
        <v>1.4314814814861165</v>
      </c>
    </row>
    <row r="148" spans="2:6">
      <c r="B148">
        <v>141</v>
      </c>
      <c r="C148" s="8">
        <v>2.4855863812456245</v>
      </c>
      <c r="D148" s="8">
        <v>10.66704861112521</v>
      </c>
      <c r="E148" s="8">
        <v>6.2082754629882402</v>
      </c>
      <c r="F148" s="8">
        <v>4.4587731481369701</v>
      </c>
    </row>
    <row r="149" spans="2:6">
      <c r="B149">
        <v>142</v>
      </c>
      <c r="C149" s="8">
        <v>2.4711152252004838</v>
      </c>
      <c r="D149" s="8">
        <v>18.243761574056407</v>
      </c>
      <c r="E149" s="8">
        <v>15.688483796271612</v>
      </c>
      <c r="F149" s="8">
        <v>2.555277777784795</v>
      </c>
    </row>
    <row r="150" spans="2:6">
      <c r="B150">
        <v>143</v>
      </c>
      <c r="C150" s="8">
        <v>2.5450755811063162</v>
      </c>
      <c r="D150" s="8">
        <v>21.934444444443216</v>
      </c>
      <c r="E150" s="8">
        <v>14.700358796297223</v>
      </c>
      <c r="F150" s="8">
        <v>7.2340856481459923</v>
      </c>
    </row>
    <row r="151" spans="2:6">
      <c r="B151">
        <v>144</v>
      </c>
      <c r="C151" s="8">
        <v>2.4733732480282713</v>
      </c>
      <c r="D151" s="8">
        <v>20.5509259258979</v>
      </c>
      <c r="E151" s="8">
        <v>11.574120370351011</v>
      </c>
      <c r="F151" s="8">
        <v>8.9768055555468891</v>
      </c>
    </row>
    <row r="152" spans="2:6">
      <c r="B152">
        <v>145</v>
      </c>
      <c r="C152" s="8">
        <v>2.5199572465967774</v>
      </c>
      <c r="D152" s="8">
        <v>18.629502314797719</v>
      </c>
      <c r="E152" s="8">
        <v>13.990706018499623</v>
      </c>
      <c r="F152" s="8">
        <v>4.6387962962980964</v>
      </c>
    </row>
    <row r="153" spans="2:6">
      <c r="B153">
        <v>146</v>
      </c>
      <c r="C153" s="8">
        <v>2.506931637674775</v>
      </c>
      <c r="D153" s="8">
        <v>14.588495370342571</v>
      </c>
      <c r="E153" s="8">
        <v>9.4074768518403289</v>
      </c>
      <c r="F153" s="8">
        <v>5.1810185185022419</v>
      </c>
    </row>
    <row r="154" spans="2:6">
      <c r="B154">
        <v>147</v>
      </c>
      <c r="C154" s="8">
        <v>2.4729582495026801</v>
      </c>
      <c r="D154" s="8">
        <v>17.166446759241808</v>
      </c>
      <c r="E154" s="8">
        <v>12.972453703689098</v>
      </c>
      <c r="F154" s="8">
        <v>4.1939930555527098</v>
      </c>
    </row>
    <row r="155" spans="2:6">
      <c r="B155">
        <v>148</v>
      </c>
      <c r="C155" s="8">
        <v>2.4779986893507466</v>
      </c>
      <c r="D155" s="8">
        <v>10.486064814816928</v>
      </c>
      <c r="E155" s="8">
        <v>7.6858680555596948</v>
      </c>
      <c r="F155" s="8">
        <v>2.8001967592572328</v>
      </c>
    </row>
    <row r="156" spans="2:6">
      <c r="B156">
        <v>149</v>
      </c>
      <c r="C156" s="8">
        <v>2.471044315036512</v>
      </c>
      <c r="D156" s="8">
        <v>15.818055555544561</v>
      </c>
      <c r="E156" s="8">
        <v>9.7544560185197042</v>
      </c>
      <c r="F156" s="8">
        <v>6.0635995370248565</v>
      </c>
    </row>
    <row r="157" spans="2:6">
      <c r="B157">
        <v>150</v>
      </c>
      <c r="C157" s="8">
        <v>2.5123310066058644</v>
      </c>
      <c r="D157" s="8">
        <v>16.143680555549508</v>
      </c>
      <c r="E157" s="8">
        <v>12.28223379629344</v>
      </c>
      <c r="F157" s="8">
        <v>3.8614467592560686</v>
      </c>
    </row>
    <row r="158" spans="2:6">
      <c r="B158">
        <v>151</v>
      </c>
      <c r="C158" s="8">
        <v>2.5001159939220687</v>
      </c>
      <c r="D158" s="8">
        <v>14.760879629633564</v>
      </c>
      <c r="E158" s="8">
        <v>14.562407407407591</v>
      </c>
      <c r="F158" s="8">
        <v>0.19847222222597338</v>
      </c>
    </row>
    <row r="159" spans="2:6">
      <c r="B159">
        <v>152</v>
      </c>
      <c r="C159" s="8">
        <v>2.50270437278806</v>
      </c>
      <c r="D159" s="8">
        <v>16.845960648133769</v>
      </c>
      <c r="E159" s="8">
        <v>13.620879629619594</v>
      </c>
      <c r="F159" s="8">
        <v>3.2250810185141745</v>
      </c>
    </row>
    <row r="160" spans="2:6">
      <c r="B160">
        <v>153</v>
      </c>
      <c r="C160" s="8">
        <v>2.4965989249259191</v>
      </c>
      <c r="D160" s="8">
        <v>22.415393518509518</v>
      </c>
      <c r="E160" s="8">
        <v>12.584305555559695</v>
      </c>
      <c r="F160" s="8">
        <v>9.8310879629498231</v>
      </c>
    </row>
    <row r="161" spans="2:6">
      <c r="B161">
        <v>154</v>
      </c>
      <c r="C161" s="8">
        <v>2.4848080188093844</v>
      </c>
      <c r="D161" s="8">
        <v>14.16386574076023</v>
      </c>
      <c r="E161" s="8">
        <v>13.023530092599685</v>
      </c>
      <c r="F161" s="8">
        <v>1.1403356481605442</v>
      </c>
    </row>
    <row r="162" spans="2:6">
      <c r="B162">
        <v>155</v>
      </c>
      <c r="C162" s="8">
        <v>2.4957046448577773</v>
      </c>
      <c r="D162" s="8">
        <v>14.660069444442343</v>
      </c>
      <c r="E162" s="8">
        <v>11.883761574084929</v>
      </c>
      <c r="F162" s="8">
        <v>2.7763078703574138</v>
      </c>
    </row>
    <row r="163" spans="2:6">
      <c r="B163">
        <v>156</v>
      </c>
      <c r="C163" s="8">
        <v>2.5025831650112056</v>
      </c>
      <c r="D163" s="8">
        <v>14.865914351859828</v>
      </c>
      <c r="E163" s="8">
        <v>10.36543981480645</v>
      </c>
      <c r="F163" s="8">
        <v>4.5004745370533783</v>
      </c>
    </row>
    <row r="164" spans="2:6">
      <c r="B164">
        <v>157</v>
      </c>
      <c r="C164" s="8">
        <v>2.5137665601348016</v>
      </c>
      <c r="D164" s="8">
        <v>12.074224537042028</v>
      </c>
      <c r="E164" s="8">
        <v>7.9379282407389837</v>
      </c>
      <c r="F164" s="8">
        <v>4.1362962963030441</v>
      </c>
    </row>
    <row r="165" spans="2:6">
      <c r="B165">
        <v>158</v>
      </c>
      <c r="C165" s="8">
        <v>2.4821726155286665</v>
      </c>
      <c r="D165" s="8">
        <v>13.108206018529017</v>
      </c>
      <c r="E165" s="8">
        <v>11.667453703703359</v>
      </c>
      <c r="F165" s="8">
        <v>1.4407523148256587</v>
      </c>
    </row>
    <row r="166" spans="2:6">
      <c r="B166">
        <v>159</v>
      </c>
      <c r="C166" s="8">
        <v>2.4476936363682191</v>
      </c>
      <c r="D166" s="8">
        <v>16.381782407355786</v>
      </c>
      <c r="E166" s="8">
        <v>9.9382638888564543</v>
      </c>
      <c r="F166" s="8">
        <v>6.4435185184993315</v>
      </c>
    </row>
    <row r="167" spans="2:6">
      <c r="B167">
        <v>160</v>
      </c>
      <c r="C167" s="8">
        <v>2.476393015384156</v>
      </c>
      <c r="D167" s="8">
        <v>18.485266203686479</v>
      </c>
      <c r="E167" s="8">
        <v>13.615821759231039</v>
      </c>
      <c r="F167" s="8">
        <v>4.8694444444554392</v>
      </c>
    </row>
    <row r="168" spans="2:6">
      <c r="B168">
        <v>161</v>
      </c>
      <c r="C168" s="8">
        <v>2.5321158027472652</v>
      </c>
      <c r="D168" s="8">
        <v>12.464143518511264</v>
      </c>
      <c r="E168" s="8">
        <v>7.8753472222088021</v>
      </c>
      <c r="F168" s="8">
        <v>4.588796296302462</v>
      </c>
    </row>
    <row r="169" spans="2:6">
      <c r="B169">
        <v>162</v>
      </c>
      <c r="C169" s="8">
        <v>2.4514574825939373</v>
      </c>
      <c r="D169" s="8">
        <v>10.780891203714418</v>
      </c>
      <c r="E169" s="8">
        <v>10.339930555564933</v>
      </c>
      <c r="F169" s="8">
        <v>0.44096064814948477</v>
      </c>
    </row>
    <row r="170" spans="2:6">
      <c r="B170">
        <v>163</v>
      </c>
      <c r="C170" s="8">
        <v>2.5229501477023528</v>
      </c>
      <c r="D170" s="8">
        <v>8.3350462963135215</v>
      </c>
      <c r="E170" s="8">
        <v>4.8200694444676628</v>
      </c>
      <c r="F170" s="8">
        <v>3.5149768518458586</v>
      </c>
    </row>
    <row r="171" spans="2:6">
      <c r="B171">
        <v>164</v>
      </c>
      <c r="C171" s="8">
        <v>2.5152791092740201</v>
      </c>
      <c r="D171" s="8">
        <v>13.972430555542815</v>
      </c>
      <c r="E171" s="8">
        <v>10.60622685184353</v>
      </c>
      <c r="F171" s="8">
        <v>3.3662037036992842</v>
      </c>
    </row>
    <row r="172" spans="2:6">
      <c r="B172">
        <v>165</v>
      </c>
      <c r="C172" s="8">
        <v>2.4848286520055285</v>
      </c>
      <c r="D172" s="8">
        <v>15.87467592588655</v>
      </c>
      <c r="E172" s="8">
        <v>11.688449074041273</v>
      </c>
      <c r="F172" s="8">
        <v>4.1862268518452765</v>
      </c>
    </row>
    <row r="173" spans="2:6">
      <c r="B173">
        <v>166</v>
      </c>
      <c r="C173" s="8">
        <v>2.472746516274098</v>
      </c>
      <c r="D173" s="8">
        <v>14.7557291666526</v>
      </c>
      <c r="E173" s="8">
        <v>10.44543981480092</v>
      </c>
      <c r="F173" s="8">
        <v>4.3102893518516794</v>
      </c>
    </row>
    <row r="174" spans="2:6">
      <c r="B174">
        <v>167</v>
      </c>
      <c r="C174" s="8">
        <v>2.5235966384338493</v>
      </c>
      <c r="D174" s="8">
        <v>9.9237037036873517</v>
      </c>
      <c r="E174" s="8">
        <v>9.0120486110972706</v>
      </c>
      <c r="F174" s="8">
        <v>0.91165509259008104</v>
      </c>
    </row>
    <row r="175" spans="2:6">
      <c r="B175">
        <v>168</v>
      </c>
      <c r="C175" s="8">
        <v>2.5169427733283811</v>
      </c>
      <c r="D175" s="8">
        <v>15.613645833320334</v>
      </c>
      <c r="E175" s="8">
        <v>10.972002314796555</v>
      </c>
      <c r="F175" s="8">
        <v>4.6416435185237788</v>
      </c>
    </row>
    <row r="176" spans="2:6">
      <c r="B176">
        <v>169</v>
      </c>
      <c r="C176" s="8">
        <v>2.4689043546157032</v>
      </c>
      <c r="D176" s="8">
        <v>16.999050925907795</v>
      </c>
      <c r="E176" s="8">
        <v>9.0840509259141982</v>
      </c>
      <c r="F176" s="8">
        <v>7.9149999999935972</v>
      </c>
    </row>
    <row r="177" spans="2:6">
      <c r="B177">
        <v>170</v>
      </c>
      <c r="C177" s="8">
        <v>2.4627290723774307</v>
      </c>
      <c r="D177" s="8">
        <v>8.2500231481462833</v>
      </c>
      <c r="E177" s="8">
        <v>5.1059375000040745</v>
      </c>
      <c r="F177" s="8">
        <v>3.1440856481422088</v>
      </c>
    </row>
    <row r="178" spans="2:6">
      <c r="B178">
        <v>171</v>
      </c>
      <c r="C178" s="8">
        <v>2.481181236756993</v>
      </c>
      <c r="D178" s="8">
        <v>13.367303240731417</v>
      </c>
      <c r="E178" s="8">
        <v>8.1553009259223472</v>
      </c>
      <c r="F178" s="8">
        <v>5.2120023148090695</v>
      </c>
    </row>
    <row r="179" spans="2:6">
      <c r="B179">
        <v>172</v>
      </c>
      <c r="C179" s="8">
        <v>2.467825615425586</v>
      </c>
      <c r="D179" s="8">
        <v>10.222199074079981</v>
      </c>
      <c r="E179" s="8">
        <v>5.8132986111086211</v>
      </c>
      <c r="F179" s="8">
        <v>4.40890046297136</v>
      </c>
    </row>
    <row r="180" spans="2:6">
      <c r="B180">
        <v>173</v>
      </c>
      <c r="C180" s="8">
        <v>2.4675181394211534</v>
      </c>
      <c r="D180" s="8">
        <v>9.3987847222015262</v>
      </c>
      <c r="E180" s="8">
        <v>9.2695254629361443</v>
      </c>
      <c r="F180" s="8">
        <v>0.12925925926538184</v>
      </c>
    </row>
    <row r="181" spans="2:6">
      <c r="B181">
        <v>174</v>
      </c>
      <c r="C181" s="8">
        <v>2.520171339506879</v>
      </c>
      <c r="D181" s="8">
        <v>15.404826388839865</v>
      </c>
      <c r="E181" s="8">
        <v>13.658819444404799</v>
      </c>
      <c r="F181" s="8">
        <v>1.7460069444350665</v>
      </c>
    </row>
    <row r="182" spans="2:6">
      <c r="B182">
        <v>175</v>
      </c>
      <c r="C182" s="8">
        <v>2.4634420544536324</v>
      </c>
      <c r="D182" s="8">
        <v>16.128379629626579</v>
      </c>
      <c r="E182" s="8">
        <v>12.062106481476803</v>
      </c>
      <c r="F182" s="8">
        <v>4.0662731481497758</v>
      </c>
    </row>
    <row r="183" spans="2:6">
      <c r="B183">
        <v>176</v>
      </c>
      <c r="C183" s="8">
        <v>2.5052196833940807</v>
      </c>
      <c r="D183" s="8">
        <v>9.9824999999909778</v>
      </c>
      <c r="E183" s="8">
        <v>7.043981481481751</v>
      </c>
      <c r="F183" s="8">
        <v>2.9385185185092269</v>
      </c>
    </row>
    <row r="184" spans="2:6">
      <c r="B184">
        <v>177</v>
      </c>
      <c r="C184" s="8">
        <v>2.4489964984859127</v>
      </c>
      <c r="D184" s="8">
        <v>9.8165740740441834</v>
      </c>
      <c r="E184" s="8">
        <v>9.2455092592426809</v>
      </c>
      <c r="F184" s="8">
        <v>0.57106481480150251</v>
      </c>
    </row>
    <row r="185" spans="2:6">
      <c r="B185">
        <v>178</v>
      </c>
      <c r="C185" s="8">
        <v>2.5471315871099698</v>
      </c>
      <c r="D185" s="8">
        <v>20.336180555539613</v>
      </c>
      <c r="E185" s="8">
        <v>16.989837962959427</v>
      </c>
      <c r="F185" s="8">
        <v>3.3463425925801857</v>
      </c>
    </row>
    <row r="186" spans="2:6">
      <c r="B186">
        <v>179</v>
      </c>
      <c r="C186" s="8">
        <v>2.4747697028244557</v>
      </c>
      <c r="D186" s="8">
        <v>16.112476851834799</v>
      </c>
      <c r="E186" s="8">
        <v>12.459780092583969</v>
      </c>
      <c r="F186" s="8">
        <v>3.6526967592508299</v>
      </c>
    </row>
    <row r="187" spans="2:6">
      <c r="B187">
        <v>180</v>
      </c>
      <c r="C187" s="8">
        <v>2.4702714657953257</v>
      </c>
      <c r="D187" s="8">
        <v>15.861365740740439</v>
      </c>
      <c r="E187" s="8">
        <v>12.625856481492519</v>
      </c>
      <c r="F187" s="8">
        <v>3.2355092592479195</v>
      </c>
    </row>
    <row r="188" spans="2:6">
      <c r="B188">
        <v>181</v>
      </c>
      <c r="C188" s="8">
        <v>2.4588510602760603</v>
      </c>
      <c r="D188" s="8">
        <v>10.696215277785086</v>
      </c>
      <c r="E188" s="8">
        <v>7.6711226851912215</v>
      </c>
      <c r="F188" s="8">
        <v>3.0250925925938645</v>
      </c>
    </row>
    <row r="189" spans="2:6">
      <c r="B189">
        <v>182</v>
      </c>
      <c r="C189" s="8">
        <v>2.5162224165418308</v>
      </c>
      <c r="D189" s="8">
        <v>18.734768518515921</v>
      </c>
      <c r="E189" s="8">
        <v>14.518877314818383</v>
      </c>
      <c r="F189" s="8">
        <v>4.215891203697538</v>
      </c>
    </row>
    <row r="190" spans="2:6">
      <c r="B190">
        <v>183</v>
      </c>
      <c r="C190" s="8">
        <v>2.4634700751484089</v>
      </c>
      <c r="D190" s="8">
        <v>17.521203703727224</v>
      </c>
      <c r="E190" s="8">
        <v>13.826562500013097</v>
      </c>
      <c r="F190" s="8">
        <v>3.6946412037141272</v>
      </c>
    </row>
    <row r="191" spans="2:6">
      <c r="B191">
        <v>184</v>
      </c>
      <c r="C191" s="8">
        <v>2.4773011412899422</v>
      </c>
      <c r="D191" s="8">
        <v>19.184282407411956</v>
      </c>
      <c r="E191" s="8">
        <v>14.467743055560277</v>
      </c>
      <c r="F191" s="8">
        <v>4.7165393518516794</v>
      </c>
    </row>
    <row r="192" spans="2:6">
      <c r="B192">
        <v>185</v>
      </c>
      <c r="C192" s="8">
        <v>2.4862528893046787</v>
      </c>
      <c r="D192" s="8">
        <v>20.406203703721985</v>
      </c>
      <c r="E192" s="8">
        <v>12.982280092597648</v>
      </c>
      <c r="F192" s="8">
        <v>7.4239236111243372</v>
      </c>
    </row>
    <row r="193" spans="2:6">
      <c r="B193">
        <v>186</v>
      </c>
      <c r="C193" s="8">
        <v>2.481218076603056</v>
      </c>
      <c r="D193" s="8">
        <v>14.556909722239652</v>
      </c>
      <c r="E193" s="8">
        <v>10.586828703708306</v>
      </c>
      <c r="F193" s="8">
        <v>3.9700810185313458</v>
      </c>
    </row>
    <row r="194" spans="2:6">
      <c r="B194">
        <v>187</v>
      </c>
      <c r="C194" s="8">
        <v>2.475904340958675</v>
      </c>
      <c r="D194" s="8">
        <v>20.154583333307528</v>
      </c>
      <c r="E194" s="8">
        <v>14.019965277751908</v>
      </c>
      <c r="F194" s="8">
        <v>6.1346180555556202</v>
      </c>
    </row>
    <row r="195" spans="2:6">
      <c r="B195">
        <v>188</v>
      </c>
      <c r="C195" s="8">
        <v>2.4560670590331433</v>
      </c>
      <c r="D195" s="8">
        <v>6.6247337963141035</v>
      </c>
      <c r="E195" s="8">
        <v>4.329201388907677</v>
      </c>
      <c r="F195" s="8">
        <v>2.2955324074064265</v>
      </c>
    </row>
    <row r="196" spans="2:6">
      <c r="B196">
        <v>189</v>
      </c>
      <c r="C196" s="8">
        <v>2.4548427076513089</v>
      </c>
      <c r="D196" s="8">
        <v>7.9359606481375522</v>
      </c>
      <c r="E196" s="8">
        <v>6.468993055554165</v>
      </c>
      <c r="F196" s="8">
        <v>1.4669675925833872</v>
      </c>
    </row>
    <row r="197" spans="2:6">
      <c r="B197">
        <v>190</v>
      </c>
      <c r="C197" s="8">
        <v>2.4501428431857724</v>
      </c>
      <c r="D197" s="8">
        <v>10.322303240740439</v>
      </c>
      <c r="E197" s="8">
        <v>4.5399305555620231</v>
      </c>
      <c r="F197" s="8">
        <v>5.7823726851784158</v>
      </c>
    </row>
    <row r="198" spans="2:6">
      <c r="B198">
        <v>191</v>
      </c>
      <c r="C198" s="8">
        <v>2.5233471306038764</v>
      </c>
      <c r="D198" s="8">
        <v>20.661122685211012</v>
      </c>
      <c r="E198" s="8">
        <v>16.491840277791198</v>
      </c>
      <c r="F198" s="8">
        <v>4.1692824074198143</v>
      </c>
    </row>
    <row r="199" spans="2:6">
      <c r="B199">
        <v>192</v>
      </c>
      <c r="C199" s="8">
        <v>2.5314896745433781</v>
      </c>
      <c r="D199" s="8">
        <v>13.067280092589499</v>
      </c>
      <c r="E199" s="8">
        <v>6.7769212962957681</v>
      </c>
      <c r="F199" s="8">
        <v>6.2903587962937308</v>
      </c>
    </row>
    <row r="200" spans="2:6">
      <c r="B200">
        <v>193</v>
      </c>
      <c r="C200" s="8">
        <v>2.4938823747199685</v>
      </c>
      <c r="D200" s="8">
        <v>12.686793981483788</v>
      </c>
      <c r="E200" s="8">
        <v>7.9411226851880201</v>
      </c>
      <c r="F200" s="8">
        <v>4.7456712962957681</v>
      </c>
    </row>
    <row r="201" spans="2:6">
      <c r="B201">
        <v>194</v>
      </c>
      <c r="C201" s="8">
        <v>2.5132512570925378</v>
      </c>
      <c r="D201" s="8">
        <v>9.7881597222294658</v>
      </c>
      <c r="E201" s="8">
        <v>6.4012384259258397</v>
      </c>
      <c r="F201" s="8">
        <v>3.3869212963036261</v>
      </c>
    </row>
    <row r="202" spans="2:6">
      <c r="B202">
        <v>195</v>
      </c>
      <c r="C202" s="8">
        <v>2.4828310471845931</v>
      </c>
      <c r="D202" s="8">
        <v>14.53131944443885</v>
      </c>
      <c r="E202" s="8">
        <v>13.927129629621049</v>
      </c>
      <c r="F202" s="8">
        <v>0.60418981481780065</v>
      </c>
    </row>
    <row r="203" spans="2:6">
      <c r="B203">
        <v>196</v>
      </c>
      <c r="C203" s="8">
        <v>2.473859903043345</v>
      </c>
      <c r="D203" s="8">
        <v>12.544259259288083</v>
      </c>
      <c r="E203" s="8">
        <v>7.1611226852110121</v>
      </c>
      <c r="F203" s="8">
        <v>5.3831365740770707</v>
      </c>
    </row>
    <row r="204" spans="2:6">
      <c r="B204">
        <v>197</v>
      </c>
      <c r="C204" s="8">
        <v>2.5325557037449804</v>
      </c>
      <c r="D204" s="8">
        <v>10.188796296308283</v>
      </c>
      <c r="E204" s="8">
        <v>8.8358564814916463</v>
      </c>
      <c r="F204" s="8">
        <v>1.3529398148166365</v>
      </c>
    </row>
    <row r="205" spans="2:6">
      <c r="B205">
        <v>198</v>
      </c>
      <c r="C205" s="8">
        <v>2.4960567015968298</v>
      </c>
      <c r="D205" s="8">
        <v>16.45765046296583</v>
      </c>
      <c r="E205" s="8">
        <v>13.623761574082891</v>
      </c>
      <c r="F205" s="8">
        <v>2.8338888888829388</v>
      </c>
    </row>
    <row r="206" spans="2:6">
      <c r="B206">
        <v>199</v>
      </c>
      <c r="C206" s="8">
        <v>2.5263149141954298</v>
      </c>
      <c r="D206" s="8">
        <v>25.224560185197333</v>
      </c>
      <c r="E206" s="8">
        <v>15.045405092583678</v>
      </c>
      <c r="F206" s="8">
        <v>10.179155092613655</v>
      </c>
    </row>
    <row r="207" spans="2:6">
      <c r="B207">
        <v>200</v>
      </c>
      <c r="C207" s="8">
        <v>2.4809719523747016</v>
      </c>
      <c r="D207" s="8">
        <v>15.511828703682113</v>
      </c>
      <c r="E207" s="8">
        <v>13.854444444419642</v>
      </c>
      <c r="F207" s="8">
        <v>1.6573842592624715</v>
      </c>
    </row>
    <row r="208" spans="2:6">
      <c r="B208">
        <v>201</v>
      </c>
      <c r="C208" s="8">
        <v>2.4967822329929934</v>
      </c>
      <c r="D208" s="8">
        <v>13.015925925894408</v>
      </c>
      <c r="E208" s="8">
        <v>10.732164351822576</v>
      </c>
      <c r="F208" s="8">
        <v>2.283761574071832</v>
      </c>
    </row>
    <row r="209" spans="2:6">
      <c r="B209">
        <v>202</v>
      </c>
      <c r="C209" s="8">
        <v>2.4946876266478464</v>
      </c>
      <c r="D209" s="8">
        <v>11.562245370347227</v>
      </c>
      <c r="E209" s="8">
        <v>8.9758680555241881</v>
      </c>
      <c r="F209" s="8">
        <v>2.5863773148230393</v>
      </c>
    </row>
    <row r="210" spans="2:6">
      <c r="B210">
        <v>203</v>
      </c>
      <c r="C210" s="8">
        <v>2.505998223107901</v>
      </c>
      <c r="D210" s="8">
        <v>15.988680555557949</v>
      </c>
      <c r="E210" s="8">
        <v>11.069224537037371</v>
      </c>
      <c r="F210" s="8">
        <v>4.9194560185205773</v>
      </c>
    </row>
    <row r="211" spans="2:6">
      <c r="B211">
        <v>204</v>
      </c>
      <c r="C211" s="8">
        <v>2.5086136439199369</v>
      </c>
      <c r="D211" s="8">
        <v>11.724039351851388</v>
      </c>
      <c r="E211" s="8">
        <v>8.7747800925935735</v>
      </c>
      <c r="F211" s="8">
        <v>2.9492592592578148</v>
      </c>
    </row>
    <row r="212" spans="2:6">
      <c r="B212">
        <v>205</v>
      </c>
      <c r="C212" s="8">
        <v>2.4674741093517638</v>
      </c>
      <c r="D212" s="8">
        <v>14.362824074072705</v>
      </c>
      <c r="E212" s="8">
        <v>11.86306712962687</v>
      </c>
      <c r="F212" s="8">
        <v>2.499756944445835</v>
      </c>
    </row>
    <row r="213" spans="2:6">
      <c r="B213">
        <v>206</v>
      </c>
      <c r="C213" s="8">
        <v>2.4801010170788551</v>
      </c>
      <c r="D213" s="8">
        <v>14.861759259249084</v>
      </c>
      <c r="E213" s="8">
        <v>12.721840277787123</v>
      </c>
      <c r="F213" s="8">
        <v>2.1399189814619604</v>
      </c>
    </row>
    <row r="214" spans="2:6">
      <c r="B214">
        <v>207</v>
      </c>
      <c r="C214" s="8">
        <v>2.5163867964515836</v>
      </c>
      <c r="D214" s="8">
        <v>14.649131944417604</v>
      </c>
      <c r="E214" s="8">
        <v>10.911828703676292</v>
      </c>
      <c r="F214" s="8">
        <v>3.737303240741312</v>
      </c>
    </row>
    <row r="215" spans="2:6">
      <c r="B215">
        <v>208</v>
      </c>
      <c r="C215" s="8">
        <v>2.4885277614199657</v>
      </c>
      <c r="D215" s="8">
        <v>14.891238425909251</v>
      </c>
      <c r="E215" s="8">
        <v>9.1600462962742313</v>
      </c>
      <c r="F215" s="8">
        <v>5.7311921296350192</v>
      </c>
    </row>
    <row r="216" spans="2:6">
      <c r="B216">
        <v>209</v>
      </c>
      <c r="C216" s="8">
        <v>2.4751103628121953</v>
      </c>
      <c r="D216" s="8">
        <v>12.978171296264918</v>
      </c>
      <c r="E216" s="8">
        <v>6.3845833333034534</v>
      </c>
      <c r="F216" s="8">
        <v>6.5935879629614647</v>
      </c>
    </row>
    <row r="217" spans="2:6">
      <c r="B217">
        <v>210</v>
      </c>
      <c r="C217" s="8">
        <v>2.5131032731737504</v>
      </c>
      <c r="D217" s="8">
        <v>13.507847222223063</v>
      </c>
      <c r="E217" s="8">
        <v>12.200300925920601</v>
      </c>
      <c r="F217" s="8">
        <v>1.307546296302462</v>
      </c>
    </row>
    <row r="218" spans="2:6">
      <c r="B218">
        <v>211</v>
      </c>
      <c r="C218" s="8">
        <v>2.5122514362953265</v>
      </c>
      <c r="D218" s="8">
        <v>17.438657407408755</v>
      </c>
      <c r="E218" s="8">
        <v>13.193703703691426</v>
      </c>
      <c r="F218" s="8">
        <v>4.2449537037173286</v>
      </c>
    </row>
    <row r="219" spans="2:6">
      <c r="B219">
        <v>212</v>
      </c>
      <c r="C219" s="8">
        <v>2.5019673823230471</v>
      </c>
      <c r="D219" s="8">
        <v>9.7370370370335877</v>
      </c>
      <c r="E219" s="8">
        <v>7.2193171296239598</v>
      </c>
      <c r="F219" s="8">
        <v>2.5177199074096279</v>
      </c>
    </row>
    <row r="220" spans="2:6">
      <c r="B220">
        <v>213</v>
      </c>
      <c r="C220" s="8">
        <v>2.4815300311984703</v>
      </c>
      <c r="D220" s="8">
        <v>9.9660763888896327</v>
      </c>
      <c r="E220" s="8">
        <v>7.7064467592572328</v>
      </c>
      <c r="F220" s="8">
        <v>2.2596296296323999</v>
      </c>
    </row>
    <row r="221" spans="2:6">
      <c r="B221">
        <v>214</v>
      </c>
      <c r="C221" s="8">
        <v>2.4736332955222475</v>
      </c>
      <c r="D221" s="8">
        <v>25.039652777777519</v>
      </c>
      <c r="E221" s="8">
        <v>18.999467592591827</v>
      </c>
      <c r="F221" s="8">
        <v>6.0401851851856918</v>
      </c>
    </row>
    <row r="222" spans="2:6">
      <c r="B222">
        <v>215</v>
      </c>
      <c r="C222" s="8">
        <v>2.5184535861436324</v>
      </c>
      <c r="D222" s="8">
        <v>12.027037037041737</v>
      </c>
      <c r="E222" s="8">
        <v>9.2778356481430819</v>
      </c>
      <c r="F222" s="8">
        <v>2.7492013888986548</v>
      </c>
    </row>
    <row r="223" spans="2:6">
      <c r="B223">
        <v>216</v>
      </c>
      <c r="C223" s="8">
        <v>2.4636175270002072</v>
      </c>
      <c r="D223" s="8">
        <v>18.72307870368968</v>
      </c>
      <c r="E223" s="8">
        <v>13.126979166656383</v>
      </c>
      <c r="F223" s="8">
        <v>5.5960995370332967</v>
      </c>
    </row>
    <row r="224" spans="2:6">
      <c r="B224">
        <v>217</v>
      </c>
      <c r="C224" s="8">
        <v>2.5174212628354842</v>
      </c>
      <c r="D224" s="8">
        <v>18.611898148126784</v>
      </c>
      <c r="E224" s="8">
        <v>14.779490740715119</v>
      </c>
      <c r="F224" s="8">
        <v>3.8324074074116652</v>
      </c>
    </row>
    <row r="225" spans="2:6">
      <c r="B225">
        <v>218</v>
      </c>
      <c r="C225" s="8">
        <v>2.4481334560097467</v>
      </c>
      <c r="D225" s="8">
        <v>8.3406365740884212</v>
      </c>
      <c r="E225" s="8">
        <v>5.0001157407459687</v>
      </c>
      <c r="F225" s="8">
        <v>3.3405208333424525</v>
      </c>
    </row>
    <row r="226" spans="2:6">
      <c r="B226">
        <v>219</v>
      </c>
      <c r="C226" s="8">
        <v>2.5281242870376874</v>
      </c>
      <c r="D226" s="8">
        <v>21.77260416666104</v>
      </c>
      <c r="E226" s="8">
        <v>16.710254629630072</v>
      </c>
      <c r="F226" s="8">
        <v>5.0623495370309683</v>
      </c>
    </row>
    <row r="227" spans="2:6">
      <c r="B227">
        <v>220</v>
      </c>
      <c r="C227" s="8">
        <v>2.475128905191847</v>
      </c>
      <c r="D227" s="8">
        <v>15.23526620370103</v>
      </c>
      <c r="E227" s="8">
        <v>12.719004629616393</v>
      </c>
      <c r="F227" s="8">
        <v>2.5162615740846377</v>
      </c>
    </row>
    <row r="228" spans="2:6">
      <c r="B228">
        <v>221</v>
      </c>
      <c r="C228" s="8">
        <v>2.4878896003944644</v>
      </c>
      <c r="D228" s="8">
        <v>10.172974537024857</v>
      </c>
      <c r="E228" s="8">
        <v>6.848634259244136</v>
      </c>
      <c r="F228" s="8">
        <v>3.3243402777807205</v>
      </c>
    </row>
    <row r="229" spans="2:6">
      <c r="B229">
        <v>222</v>
      </c>
      <c r="C229" s="8">
        <v>2.4621382026384717</v>
      </c>
      <c r="D229" s="8">
        <v>8.5205555555876344</v>
      </c>
      <c r="E229" s="8">
        <v>6.444085648174223</v>
      </c>
      <c r="F229" s="8">
        <v>2.0764699074134114</v>
      </c>
    </row>
    <row r="230" spans="2:6">
      <c r="B230">
        <v>223</v>
      </c>
      <c r="C230" s="8">
        <v>2.490891504194249</v>
      </c>
      <c r="D230" s="8">
        <v>12.736793981486699</v>
      </c>
      <c r="E230" s="8">
        <v>9.1423495370472665</v>
      </c>
      <c r="F230" s="8">
        <v>3.5944444444394321</v>
      </c>
    </row>
    <row r="231" spans="2:6">
      <c r="B231">
        <v>224</v>
      </c>
      <c r="C231" s="8">
        <v>2.5344529143978791</v>
      </c>
      <c r="D231" s="8">
        <v>23.489756944494729</v>
      </c>
      <c r="E231" s="8">
        <v>14.368460648183827</v>
      </c>
      <c r="F231" s="8">
        <v>9.1212962963109021</v>
      </c>
    </row>
    <row r="232" spans="2:6">
      <c r="B232">
        <v>225</v>
      </c>
      <c r="C232" s="8">
        <v>2.4829148630452762</v>
      </c>
      <c r="D232" s="8">
        <v>10.952025462975143</v>
      </c>
      <c r="E232" s="8">
        <v>7.6782175926055061</v>
      </c>
      <c r="F232" s="8">
        <v>3.2738078703696374</v>
      </c>
    </row>
    <row r="233" spans="2:6">
      <c r="B233">
        <v>226</v>
      </c>
      <c r="C233" s="8">
        <v>2.5235574830248266</v>
      </c>
      <c r="D233" s="8">
        <v>12.889918981469236</v>
      </c>
      <c r="E233" s="8">
        <v>9.7000810185054434</v>
      </c>
      <c r="F233" s="8">
        <v>3.189837962963793</v>
      </c>
    </row>
    <row r="234" spans="2:6">
      <c r="B234">
        <v>227</v>
      </c>
      <c r="C234" s="8">
        <v>2.4911010524917634</v>
      </c>
      <c r="D234" s="8">
        <v>14.922685185199953</v>
      </c>
      <c r="E234" s="8">
        <v>8.0224884259441751</v>
      </c>
      <c r="F234" s="8">
        <v>6.9001967592557776</v>
      </c>
    </row>
    <row r="235" spans="2:6">
      <c r="B235">
        <v>228</v>
      </c>
      <c r="C235" s="8">
        <v>2.4850053558286334</v>
      </c>
      <c r="D235" s="8">
        <v>17.361817129647534</v>
      </c>
      <c r="E235" s="8">
        <v>12.294120370381279</v>
      </c>
      <c r="F235" s="8">
        <v>5.067696759266255</v>
      </c>
    </row>
    <row r="236" spans="2:6">
      <c r="B236">
        <v>229</v>
      </c>
      <c r="C236" s="8">
        <v>2.4961691048035903</v>
      </c>
      <c r="D236" s="8">
        <v>16.440057870357123</v>
      </c>
      <c r="E236" s="8">
        <v>9.3635185185194132</v>
      </c>
      <c r="F236" s="8">
        <v>7.0765393518377095</v>
      </c>
    </row>
    <row r="237" spans="2:6">
      <c r="B237">
        <v>230</v>
      </c>
      <c r="C237" s="8">
        <v>2.5461666809807761</v>
      </c>
      <c r="D237" s="8">
        <v>11.381712962975143</v>
      </c>
      <c r="E237" s="8">
        <v>10.256932870397577</v>
      </c>
      <c r="F237" s="8">
        <v>1.1247800925775664</v>
      </c>
    </row>
    <row r="238" spans="2:6">
      <c r="B238">
        <v>231</v>
      </c>
      <c r="C238" s="8">
        <v>2.5003764936421935</v>
      </c>
      <c r="D238" s="8">
        <v>12.523877314801211</v>
      </c>
      <c r="E238" s="8">
        <v>9.3132638888855581</v>
      </c>
      <c r="F238" s="8">
        <v>3.2106134259156534</v>
      </c>
    </row>
    <row r="239" spans="2:6">
      <c r="B239">
        <v>232</v>
      </c>
      <c r="C239" s="8">
        <v>2.4714015509530585</v>
      </c>
      <c r="D239" s="8">
        <v>16.548414351855172</v>
      </c>
      <c r="E239" s="8">
        <v>11.862152777786832</v>
      </c>
      <c r="F239" s="8">
        <v>4.6862615740683395</v>
      </c>
    </row>
    <row r="240" spans="2:6">
      <c r="B240">
        <v>233</v>
      </c>
      <c r="C240" s="8">
        <v>2.4977300828388702</v>
      </c>
      <c r="D240" s="8">
        <v>14.737094907417486</v>
      </c>
      <c r="E240" s="8">
        <v>11.972152777787414</v>
      </c>
      <c r="F240" s="8">
        <v>2.7649421296300716</v>
      </c>
    </row>
    <row r="241" spans="2:6">
      <c r="B241">
        <v>234</v>
      </c>
      <c r="C241" s="8">
        <v>2.4400068630796032</v>
      </c>
      <c r="D241" s="8">
        <v>9.4337384259270038</v>
      </c>
      <c r="E241" s="8">
        <v>9.0265162037103437</v>
      </c>
      <c r="F241" s="8">
        <v>0.40722222221666016</v>
      </c>
    </row>
    <row r="242" spans="2:6">
      <c r="B242">
        <v>235</v>
      </c>
      <c r="C242" s="8">
        <v>2.5107945216360688</v>
      </c>
      <c r="D242" s="8">
        <v>12.153368055536703</v>
      </c>
      <c r="E242" s="8">
        <v>7.8976273148073233</v>
      </c>
      <c r="F242" s="8">
        <v>4.2557407407293795</v>
      </c>
    </row>
    <row r="243" spans="2:6">
      <c r="B243">
        <v>236</v>
      </c>
      <c r="C243" s="8">
        <v>2.523547897000141</v>
      </c>
      <c r="D243" s="8">
        <v>16.197534722174169</v>
      </c>
      <c r="E243" s="8">
        <v>11.286805555515457</v>
      </c>
      <c r="F243" s="8">
        <v>4.9107291666587116</v>
      </c>
    </row>
    <row r="244" spans="2:6">
      <c r="B244">
        <v>237</v>
      </c>
      <c r="C244" s="8">
        <v>2.5008878870242306</v>
      </c>
      <c r="D244" s="8">
        <v>13.298263888907968</v>
      </c>
      <c r="E244" s="8">
        <v>9.1343287037234404</v>
      </c>
      <c r="F244" s="8">
        <v>4.1639351851845277</v>
      </c>
    </row>
    <row r="245" spans="2:6">
      <c r="B245">
        <v>238</v>
      </c>
      <c r="C245" s="8">
        <v>2.4780805543585207</v>
      </c>
      <c r="D245" s="8">
        <v>7.4694907407319988</v>
      </c>
      <c r="E245" s="8">
        <v>5.3408333333209157</v>
      </c>
      <c r="F245" s="8">
        <v>2.1286574074110831</v>
      </c>
    </row>
    <row r="246" spans="2:6">
      <c r="B246">
        <v>239</v>
      </c>
      <c r="C246" s="8">
        <v>2.496320903346517</v>
      </c>
      <c r="D246" s="8">
        <v>15.290497685185983</v>
      </c>
      <c r="E246" s="8">
        <v>8.9058796296230867</v>
      </c>
      <c r="F246" s="8">
        <v>6.3846180555628962</v>
      </c>
    </row>
    <row r="247" spans="2:6">
      <c r="B247">
        <v>240</v>
      </c>
      <c r="C247" s="8">
        <v>2.4938779008367655</v>
      </c>
      <c r="D247" s="8">
        <v>14.508449074070086</v>
      </c>
      <c r="E247" s="8">
        <v>11.372523148151231</v>
      </c>
      <c r="F247" s="8">
        <v>3.1359259259188548</v>
      </c>
    </row>
    <row r="248" spans="2:6">
      <c r="B248">
        <v>241</v>
      </c>
      <c r="C248" s="8">
        <v>2.5052306827776452</v>
      </c>
      <c r="D248" s="8">
        <v>13.514131944451947</v>
      </c>
      <c r="E248" s="8">
        <v>7.505405092597357</v>
      </c>
      <c r="F248" s="8">
        <v>6.0087268518545898</v>
      </c>
    </row>
    <row r="249" spans="2:6">
      <c r="B249">
        <v>242</v>
      </c>
      <c r="C249" s="8">
        <v>2.5025819597619487</v>
      </c>
      <c r="D249" s="8">
        <v>12.73626157410763</v>
      </c>
      <c r="E249" s="8">
        <v>11.786944444480469</v>
      </c>
      <c r="F249" s="8">
        <v>0.94931712962716119</v>
      </c>
    </row>
    <row r="250" spans="2:6">
      <c r="B250">
        <v>243</v>
      </c>
      <c r="C250" s="8">
        <v>2.4742943821810042</v>
      </c>
      <c r="D250" s="8">
        <v>14.258819444461551</v>
      </c>
      <c r="E250" s="8">
        <v>11.050798611118807</v>
      </c>
      <c r="F250" s="8">
        <v>3.2080208333427436</v>
      </c>
    </row>
    <row r="251" spans="2:6">
      <c r="B251">
        <v>244</v>
      </c>
      <c r="C251" s="8">
        <v>2.4751438902237077</v>
      </c>
      <c r="D251" s="8">
        <v>10.193402777811571</v>
      </c>
      <c r="E251" s="8">
        <v>7.2335185185365845</v>
      </c>
      <c r="F251" s="8">
        <v>2.9598842592749861</v>
      </c>
    </row>
    <row r="252" spans="2:6">
      <c r="B252">
        <v>245</v>
      </c>
      <c r="C252" s="8">
        <v>2.4858603453451447</v>
      </c>
      <c r="D252" s="8">
        <v>11.248634259231039</v>
      </c>
      <c r="E252" s="8">
        <v>10.350254629607662</v>
      </c>
      <c r="F252" s="8">
        <v>0.8983796296233777</v>
      </c>
    </row>
    <row r="253" spans="2:6">
      <c r="B253">
        <v>246</v>
      </c>
      <c r="C253" s="8">
        <v>2.500371487696444</v>
      </c>
      <c r="D253" s="8">
        <v>16.491782407414576</v>
      </c>
      <c r="E253" s="8">
        <v>14.464791666679957</v>
      </c>
      <c r="F253" s="8">
        <v>2.0269907407346182</v>
      </c>
    </row>
    <row r="254" spans="2:6">
      <c r="B254">
        <v>247</v>
      </c>
      <c r="C254" s="8">
        <v>2.4897520559072408</v>
      </c>
      <c r="D254" s="8">
        <v>9.680243055561732</v>
      </c>
      <c r="E254" s="8">
        <v>8.721331018525234</v>
      </c>
      <c r="F254" s="8">
        <v>0.95891203703649808</v>
      </c>
    </row>
    <row r="255" spans="2:6">
      <c r="B255">
        <v>248</v>
      </c>
      <c r="C255" s="8">
        <v>2.5447377857022251</v>
      </c>
      <c r="D255" s="8">
        <v>14.250081018508354</v>
      </c>
      <c r="E255" s="8">
        <v>12.416539351841493</v>
      </c>
      <c r="F255" s="8">
        <v>1.8335416666668607</v>
      </c>
    </row>
    <row r="256" spans="2:6">
      <c r="B256">
        <v>249</v>
      </c>
      <c r="C256" s="8">
        <v>2.5395850035290852</v>
      </c>
      <c r="D256" s="8">
        <v>17.624988425937772</v>
      </c>
      <c r="E256" s="8">
        <v>15.217557870368182</v>
      </c>
      <c r="F256" s="8">
        <v>2.4074305555695901</v>
      </c>
    </row>
    <row r="257" spans="2:6">
      <c r="B257">
        <v>250</v>
      </c>
      <c r="C257" s="8">
        <v>2.523420522637204</v>
      </c>
      <c r="D257" s="8">
        <v>14.400486111102509</v>
      </c>
      <c r="E257" s="8">
        <v>9.7434722222169512</v>
      </c>
      <c r="F257" s="8">
        <v>4.6570138888855581</v>
      </c>
    </row>
    <row r="258" spans="2:6">
      <c r="B258">
        <v>251</v>
      </c>
      <c r="C258" s="8">
        <v>2.4670847873261734</v>
      </c>
      <c r="D258" s="8">
        <v>11.450092592604051</v>
      </c>
      <c r="E258" s="8">
        <v>10.004687500018917</v>
      </c>
      <c r="F258" s="8">
        <v>1.4454050925851334</v>
      </c>
    </row>
    <row r="259" spans="2:6">
      <c r="B259">
        <v>252</v>
      </c>
      <c r="C259" s="8">
        <v>2.4405920442829814</v>
      </c>
      <c r="D259" s="8">
        <v>13.949374999996508</v>
      </c>
      <c r="E259" s="8">
        <v>12.171493055546307</v>
      </c>
      <c r="F259" s="8">
        <v>1.7778819444502005</v>
      </c>
    </row>
    <row r="260" spans="2:6">
      <c r="B260">
        <v>253</v>
      </c>
      <c r="C260" s="8">
        <v>2.4967895865791268</v>
      </c>
      <c r="D260" s="8">
        <v>7.5501967592717847</v>
      </c>
      <c r="E260" s="8">
        <v>6.5222685185290175</v>
      </c>
      <c r="F260" s="8">
        <v>1.0279282407427672</v>
      </c>
    </row>
    <row r="261" spans="2:6">
      <c r="B261">
        <v>254</v>
      </c>
      <c r="C261" s="8">
        <v>2.4358748981709746</v>
      </c>
      <c r="D261" s="8">
        <v>9.6451388888817746</v>
      </c>
      <c r="E261" s="8">
        <v>8.8559143518359633</v>
      </c>
      <c r="F261" s="8">
        <v>0.7892245370458113</v>
      </c>
    </row>
    <row r="262" spans="2:6">
      <c r="B262">
        <v>255</v>
      </c>
      <c r="C262" s="8">
        <v>2.5076746410775081</v>
      </c>
      <c r="D262" s="8">
        <v>18.421273148160253</v>
      </c>
      <c r="E262" s="8">
        <v>14.512210648150358</v>
      </c>
      <c r="F262" s="8">
        <v>3.9090625000098953</v>
      </c>
    </row>
    <row r="263" spans="2:6">
      <c r="B263">
        <v>256</v>
      </c>
      <c r="C263" s="8">
        <v>2.5152914611422457</v>
      </c>
      <c r="D263" s="8">
        <v>12.823310185180162</v>
      </c>
      <c r="E263" s="8">
        <v>6.8499768518449855</v>
      </c>
      <c r="F263" s="8">
        <v>5.9733333333351766</v>
      </c>
    </row>
    <row r="264" spans="2:6">
      <c r="B264">
        <v>257</v>
      </c>
      <c r="C264" s="8">
        <v>2.5287032451770788</v>
      </c>
      <c r="D264" s="8">
        <v>20.462731481500668</v>
      </c>
      <c r="E264" s="8">
        <v>14.095995370385936</v>
      </c>
      <c r="F264" s="8">
        <v>6.3667361111147329</v>
      </c>
    </row>
    <row r="265" spans="2:6">
      <c r="B265">
        <v>258</v>
      </c>
      <c r="C265" s="8">
        <v>2.4964615052724493</v>
      </c>
      <c r="D265" s="8">
        <v>19.340127314797428</v>
      </c>
      <c r="E265" s="8">
        <v>12.766018518508645</v>
      </c>
      <c r="F265" s="8">
        <v>6.5741087962887832</v>
      </c>
    </row>
    <row r="266" spans="2:6">
      <c r="B266">
        <v>259</v>
      </c>
      <c r="C266" s="8">
        <v>2.5245662451518291</v>
      </c>
      <c r="D266" s="8">
        <v>11.545162037044065</v>
      </c>
      <c r="E266" s="8">
        <v>10.427581018513592</v>
      </c>
      <c r="F266" s="8">
        <v>1.1175810185304726</v>
      </c>
    </row>
    <row r="267" spans="2:6">
      <c r="B267">
        <v>260</v>
      </c>
      <c r="C267" s="8">
        <v>2.482384497450703</v>
      </c>
      <c r="D267" s="8">
        <v>8.2835069444336114</v>
      </c>
      <c r="E267" s="8">
        <v>7.2140162036957918</v>
      </c>
      <c r="F267" s="8">
        <v>1.0694907407378196</v>
      </c>
    </row>
    <row r="268" spans="2:6">
      <c r="B268">
        <v>261</v>
      </c>
      <c r="C268" s="8">
        <v>2.5078747219719615</v>
      </c>
      <c r="D268" s="8">
        <v>8.8040972222297569</v>
      </c>
      <c r="E268" s="8">
        <v>7.4156134259319515</v>
      </c>
      <c r="F268" s="8">
        <v>1.3884837962978054</v>
      </c>
    </row>
    <row r="269" spans="2:6">
      <c r="B269">
        <v>262</v>
      </c>
      <c r="C269" s="8">
        <v>2.5027030414582447</v>
      </c>
      <c r="D269" s="8">
        <v>10.191215277816809</v>
      </c>
      <c r="E269" s="8">
        <v>7.8253819444871624</v>
      </c>
      <c r="F269" s="8">
        <v>2.3658333333296468</v>
      </c>
    </row>
    <row r="270" spans="2:6">
      <c r="B270">
        <v>263</v>
      </c>
      <c r="C270" s="8">
        <v>2.4548340851887063</v>
      </c>
      <c r="D270" s="8">
        <v>8.8437731481535593</v>
      </c>
      <c r="E270" s="8">
        <v>7.2859953703809879</v>
      </c>
      <c r="F270" s="8">
        <v>1.5577777777725714</v>
      </c>
    </row>
    <row r="271" spans="2:6">
      <c r="B271">
        <v>264</v>
      </c>
      <c r="C271" s="8">
        <v>2.5042619261830912</v>
      </c>
      <c r="D271" s="8">
        <v>11.351678240753245</v>
      </c>
      <c r="E271" s="8">
        <v>9.338935185194714</v>
      </c>
      <c r="F271" s="8">
        <v>2.0127430555585306</v>
      </c>
    </row>
    <row r="272" spans="2:6">
      <c r="B272">
        <v>265</v>
      </c>
      <c r="C272" s="8">
        <v>2.5183333960821623</v>
      </c>
      <c r="D272" s="8">
        <v>17.404027777782176</v>
      </c>
      <c r="E272" s="8">
        <v>14.189317129625124</v>
      </c>
      <c r="F272" s="8">
        <v>3.2147106481570518</v>
      </c>
    </row>
    <row r="273" spans="2:6">
      <c r="B273">
        <v>266</v>
      </c>
      <c r="C273" s="8">
        <v>2.4667934740033464</v>
      </c>
      <c r="D273" s="8">
        <v>11.311817129637348</v>
      </c>
      <c r="E273" s="8">
        <v>9.0688194444519468</v>
      </c>
      <c r="F273" s="8">
        <v>2.2429976851854008</v>
      </c>
    </row>
    <row r="274" spans="2:6">
      <c r="B274">
        <v>267</v>
      </c>
      <c r="C274" s="8">
        <v>2.4803342334276142</v>
      </c>
      <c r="D274" s="8">
        <v>17.665601851847896</v>
      </c>
      <c r="E274" s="8">
        <v>16.059155092596484</v>
      </c>
      <c r="F274" s="8">
        <v>1.606446759251412</v>
      </c>
    </row>
    <row r="275" spans="2:6">
      <c r="B275">
        <v>268</v>
      </c>
      <c r="C275" s="8">
        <v>2.515275181202385</v>
      </c>
      <c r="D275" s="8">
        <v>11.971944444419933</v>
      </c>
      <c r="E275" s="8">
        <v>9.2999884259188548</v>
      </c>
      <c r="F275" s="8">
        <v>2.6719560185010778</v>
      </c>
    </row>
    <row r="276" spans="2:6">
      <c r="B276">
        <v>269</v>
      </c>
      <c r="C276" s="8">
        <v>2.5122617486301784</v>
      </c>
      <c r="D276" s="8">
        <v>19.050173611140053</v>
      </c>
      <c r="E276" s="8">
        <v>15.918993055565807</v>
      </c>
      <c r="F276" s="8">
        <v>3.1311805555742467</v>
      </c>
    </row>
    <row r="277" spans="2:6">
      <c r="B277">
        <v>270</v>
      </c>
      <c r="C277" s="8">
        <v>2.511309045109114</v>
      </c>
      <c r="D277" s="8">
        <v>14.026631944412657</v>
      </c>
      <c r="E277" s="8">
        <v>11.214456018489727</v>
      </c>
      <c r="F277" s="8">
        <v>2.8121759259229293</v>
      </c>
    </row>
    <row r="278" spans="2:6">
      <c r="B278">
        <v>271</v>
      </c>
      <c r="C278" s="8">
        <v>2.4500777787635104</v>
      </c>
      <c r="D278" s="8">
        <v>18.751770833332557</v>
      </c>
      <c r="E278" s="8">
        <v>12.0336111111028</v>
      </c>
      <c r="F278" s="8">
        <v>6.7181597222297569</v>
      </c>
    </row>
    <row r="279" spans="2:6">
      <c r="B279">
        <v>272</v>
      </c>
      <c r="C279" s="8">
        <v>2.4445205090599855</v>
      </c>
      <c r="D279" s="8">
        <v>15.440497685209266</v>
      </c>
      <c r="E279" s="8">
        <v>11.85317129631585</v>
      </c>
      <c r="F279" s="8">
        <v>3.5873263888934162</v>
      </c>
    </row>
    <row r="280" spans="2:6">
      <c r="B280">
        <v>273</v>
      </c>
      <c r="C280" s="8">
        <v>2.4869338071865847</v>
      </c>
      <c r="D280" s="8">
        <v>15.531875000007858</v>
      </c>
      <c r="E280" s="8">
        <v>11.828993055569299</v>
      </c>
      <c r="F280" s="8">
        <v>3.702881944438559</v>
      </c>
    </row>
    <row r="281" spans="2:6">
      <c r="B281">
        <v>274</v>
      </c>
      <c r="C281" s="8">
        <v>2.5014859566437919</v>
      </c>
      <c r="D281" s="8">
        <v>17.473518518505443</v>
      </c>
      <c r="E281" s="8">
        <v>11.815381944434193</v>
      </c>
      <c r="F281" s="8">
        <v>5.6581365740712499</v>
      </c>
    </row>
    <row r="282" spans="2:6">
      <c r="B282">
        <v>275</v>
      </c>
      <c r="C282" s="8">
        <v>2.5173371253740813</v>
      </c>
      <c r="D282" s="8">
        <v>16.712604166692472</v>
      </c>
      <c r="E282" s="8">
        <v>15.463252314832062</v>
      </c>
      <c r="F282" s="8">
        <v>1.2493518518604105</v>
      </c>
    </row>
    <row r="283" spans="2:6">
      <c r="B283">
        <v>276</v>
      </c>
      <c r="C283" s="8">
        <v>2.5193949225220824</v>
      </c>
      <c r="D283" s="8">
        <v>20.626562499994179</v>
      </c>
      <c r="E283" s="8">
        <v>11.77886574074364</v>
      </c>
      <c r="F283" s="8">
        <v>8.8476967592505389</v>
      </c>
    </row>
    <row r="284" spans="2:6">
      <c r="B284">
        <v>277</v>
      </c>
      <c r="C284" s="8">
        <v>2.4834899900649616</v>
      </c>
      <c r="D284" s="8">
        <v>16.164409722223354</v>
      </c>
      <c r="E284" s="8">
        <v>8.6989814814733109</v>
      </c>
      <c r="F284" s="8">
        <v>7.4654282407500432</v>
      </c>
    </row>
    <row r="285" spans="2:6">
      <c r="B285">
        <v>278</v>
      </c>
      <c r="C285" s="8">
        <v>2.4731474608882182</v>
      </c>
      <c r="D285" s="8">
        <v>10.363414351842948</v>
      </c>
      <c r="E285" s="8">
        <v>8.547083333331102</v>
      </c>
      <c r="F285" s="8">
        <v>1.8163310185118462</v>
      </c>
    </row>
    <row r="286" spans="2:6">
      <c r="B286">
        <v>279</v>
      </c>
      <c r="C286" s="8">
        <v>2.5095170399174096</v>
      </c>
      <c r="D286" s="8">
        <v>13.50865740741574</v>
      </c>
      <c r="E286" s="8">
        <v>7.3350231481599621</v>
      </c>
      <c r="F286" s="8">
        <v>6.1736342592557776</v>
      </c>
    </row>
    <row r="287" spans="2:6">
      <c r="B287">
        <v>280</v>
      </c>
      <c r="C287" s="8">
        <v>2.5012210036263212</v>
      </c>
      <c r="D287" s="8">
        <v>17.854803240727051</v>
      </c>
      <c r="E287" s="8">
        <v>10.402141203696374</v>
      </c>
      <c r="F287" s="8">
        <v>7.4526620370306773</v>
      </c>
    </row>
    <row r="288" spans="2:6">
      <c r="B288">
        <v>281</v>
      </c>
      <c r="C288" s="8">
        <v>2.506355719903417</v>
      </c>
      <c r="D288" s="8">
        <v>11.403298611119681</v>
      </c>
      <c r="E288" s="8">
        <v>8.1973611111170612</v>
      </c>
      <c r="F288" s="8">
        <v>3.2059375000026193</v>
      </c>
    </row>
    <row r="289" spans="2:6">
      <c r="B289">
        <v>282</v>
      </c>
      <c r="C289" s="8">
        <v>2.5031995068372712</v>
      </c>
      <c r="D289" s="8">
        <v>9.5454629629821284</v>
      </c>
      <c r="E289" s="8">
        <v>8.7501157407605206</v>
      </c>
      <c r="F289" s="8">
        <v>0.79534722222160781</v>
      </c>
    </row>
    <row r="290" spans="2:6">
      <c r="B290">
        <v>283</v>
      </c>
      <c r="C290" s="8">
        <v>2.4576909951116166</v>
      </c>
      <c r="D290" s="8">
        <v>11.031770833316841</v>
      </c>
      <c r="E290" s="8">
        <v>9.1493055555474712</v>
      </c>
      <c r="F290" s="8">
        <v>1.88246527776937</v>
      </c>
    </row>
    <row r="291" spans="2:6">
      <c r="B291">
        <v>284</v>
      </c>
      <c r="C291" s="8">
        <v>2.4684350887152191</v>
      </c>
      <c r="D291" s="8">
        <v>15.287951388883812</v>
      </c>
      <c r="E291" s="8">
        <v>10.089155092588044</v>
      </c>
      <c r="F291" s="8">
        <v>5.1987962962957681</v>
      </c>
    </row>
    <row r="292" spans="2:6">
      <c r="B292">
        <v>285</v>
      </c>
      <c r="C292" s="8">
        <v>2.4918536521527521</v>
      </c>
      <c r="D292" s="8">
        <v>13.577268518536584</v>
      </c>
      <c r="E292" s="8">
        <v>9.9735532407648861</v>
      </c>
      <c r="F292" s="8">
        <v>3.6037152777716983</v>
      </c>
    </row>
    <row r="293" spans="2:6">
      <c r="B293">
        <v>286</v>
      </c>
      <c r="C293" s="8">
        <v>2.5134207338720911</v>
      </c>
      <c r="D293" s="8">
        <v>14.015902777748124</v>
      </c>
      <c r="E293" s="8">
        <v>12.724918981461087</v>
      </c>
      <c r="F293" s="8">
        <v>1.290983796287037</v>
      </c>
    </row>
    <row r="294" spans="2:6">
      <c r="B294">
        <v>287</v>
      </c>
      <c r="C294" s="8">
        <v>2.4816358183555338</v>
      </c>
      <c r="D294" s="8">
        <v>10.992037037060072</v>
      </c>
      <c r="E294" s="8">
        <v>7.9582407407579012</v>
      </c>
      <c r="F294" s="8">
        <v>3.033796296302171</v>
      </c>
    </row>
    <row r="295" spans="2:6">
      <c r="B295">
        <v>288</v>
      </c>
      <c r="C295" s="8">
        <v>2.4862615396693428</v>
      </c>
      <c r="D295" s="8">
        <v>12.540000000000873</v>
      </c>
      <c r="E295" s="8">
        <v>7.52859953702864</v>
      </c>
      <c r="F295" s="8">
        <v>5.0114004629722331</v>
      </c>
    </row>
    <row r="296" spans="2:6">
      <c r="B296">
        <v>289</v>
      </c>
      <c r="C296" s="8">
        <v>2.4944918765062747</v>
      </c>
      <c r="D296" s="8">
        <v>4.1021643518324709</v>
      </c>
      <c r="E296" s="8">
        <v>2.7945138888680958</v>
      </c>
      <c r="F296" s="8">
        <v>1.307650462964375</v>
      </c>
    </row>
    <row r="297" spans="2:6">
      <c r="B297">
        <v>290</v>
      </c>
      <c r="C297" s="8">
        <v>2.4674048936779385</v>
      </c>
      <c r="D297" s="8">
        <v>9.7996527777868323</v>
      </c>
      <c r="E297" s="8">
        <v>8.9785069444478722</v>
      </c>
      <c r="F297" s="8">
        <v>0.82114583333896007</v>
      </c>
    </row>
    <row r="298" spans="2:6">
      <c r="B298">
        <v>291</v>
      </c>
      <c r="C298" s="8">
        <v>2.4974970696345506</v>
      </c>
      <c r="D298" s="8">
        <v>9.0834606481803348</v>
      </c>
      <c r="E298" s="8">
        <v>5.1783796296585933</v>
      </c>
      <c r="F298" s="8">
        <v>3.9050810185217415</v>
      </c>
    </row>
    <row r="299" spans="2:6">
      <c r="B299">
        <v>292</v>
      </c>
      <c r="C299" s="8">
        <v>2.5001816504750107</v>
      </c>
      <c r="D299" s="8">
        <v>10.396689814828278</v>
      </c>
      <c r="E299" s="8">
        <v>7.0254629629635019</v>
      </c>
      <c r="F299" s="8">
        <v>3.3712268518647761</v>
      </c>
    </row>
    <row r="300" spans="2:6">
      <c r="B300">
        <v>293</v>
      </c>
      <c r="C300" s="8">
        <v>2.5154983337987069</v>
      </c>
      <c r="D300" s="8">
        <v>16.115925925922056</v>
      </c>
      <c r="E300" s="8">
        <v>13.683009259257233</v>
      </c>
      <c r="F300" s="8">
        <v>2.4329166666648234</v>
      </c>
    </row>
    <row r="301" spans="2:6">
      <c r="B301">
        <v>294</v>
      </c>
      <c r="C301" s="8">
        <v>2.5344701720604896</v>
      </c>
      <c r="D301" s="8">
        <v>21.497395833357587</v>
      </c>
      <c r="E301" s="8">
        <v>18.041597222239943</v>
      </c>
      <c r="F301" s="8">
        <v>3.4557986111176433</v>
      </c>
    </row>
    <row r="302" spans="2:6">
      <c r="B302">
        <v>295</v>
      </c>
      <c r="C302" s="8">
        <v>2.4982539346257839</v>
      </c>
      <c r="D302" s="8">
        <v>8.8930671296402579</v>
      </c>
      <c r="E302" s="8">
        <v>5.5065162037062692</v>
      </c>
      <c r="F302" s="8">
        <v>3.3865509259339888</v>
      </c>
    </row>
    <row r="303" spans="2:6">
      <c r="B303">
        <v>296</v>
      </c>
      <c r="C303" s="8">
        <v>2.4961681218162255</v>
      </c>
      <c r="D303" s="8">
        <v>19.192986111120263</v>
      </c>
      <c r="E303" s="8">
        <v>15.670520833351475</v>
      </c>
      <c r="F303" s="8">
        <v>3.5224652777687879</v>
      </c>
    </row>
    <row r="304" spans="2:6">
      <c r="B304">
        <v>297</v>
      </c>
      <c r="C304" s="8">
        <v>2.4482753558979167</v>
      </c>
      <c r="D304" s="8">
        <v>17.947511574071541</v>
      </c>
      <c r="E304" s="8">
        <v>12.172743055554747</v>
      </c>
      <c r="F304" s="8">
        <v>5.7747685185167938</v>
      </c>
    </row>
    <row r="305" spans="2:6">
      <c r="B305">
        <v>298</v>
      </c>
      <c r="C305" s="8">
        <v>2.50787001459384</v>
      </c>
      <c r="D305" s="8">
        <v>9.7126504629632109</v>
      </c>
      <c r="E305" s="8">
        <v>6.0405787037016125</v>
      </c>
      <c r="F305" s="8">
        <v>3.6720717592615983</v>
      </c>
    </row>
    <row r="306" spans="2:6">
      <c r="B306">
        <v>299</v>
      </c>
      <c r="C306" s="8">
        <v>2.4816018417106278</v>
      </c>
      <c r="D306" s="8">
        <v>16.647372685169103</v>
      </c>
      <c r="E306" s="8">
        <v>12.622523148136679</v>
      </c>
      <c r="F306" s="8">
        <v>4.0248495370324235</v>
      </c>
    </row>
    <row r="307" spans="2:6">
      <c r="B307">
        <v>300</v>
      </c>
      <c r="C307" s="8">
        <v>2.4205310209113939</v>
      </c>
      <c r="D307" s="8">
        <v>7.7004976851894753</v>
      </c>
      <c r="E307" s="8">
        <v>7.3007870370420278</v>
      </c>
      <c r="F307" s="8">
        <v>0.3997106481474475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85EF041D732842A4B0D3D02D1D9BF8" ma:contentTypeVersion="15" ma:contentTypeDescription="Create a new document." ma:contentTypeScope="" ma:versionID="45771a5d727bd03f1d063a5a900752a9">
  <xsd:schema xmlns:xsd="http://www.w3.org/2001/XMLSchema" xmlns:xs="http://www.w3.org/2001/XMLSchema" xmlns:p="http://schemas.microsoft.com/office/2006/metadata/properties" xmlns:ns2="f2602437-8226-4ff5-b264-82886a44c6d5" xmlns:ns3="8001db4d-8f9c-4d3f-b105-b5310b0808bb" targetNamespace="http://schemas.microsoft.com/office/2006/metadata/properties" ma:root="true" ma:fieldsID="3c2cfac26d56f70eeb99ed30aaf27ee8" ns2:_="" ns3:_="">
    <xsd:import namespace="f2602437-8226-4ff5-b264-82886a44c6d5"/>
    <xsd:import namespace="8001db4d-8f9c-4d3f-b105-b5310b0808b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602437-8226-4ff5-b264-82886a44c6d5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0911f978-20b6-44ad-b3a6-47893a1377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01db4d-8f9c-4d3f-b105-b5310b0808bb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97df8ea5-7972-4e96-abbc-2abf4d1216f2}" ma:internalName="TaxCatchAll" ma:showField="CatchAllData" ma:web="8001db4d-8f9c-4d3f-b105-b5310b0808b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2602437-8226-4ff5-b264-82886a44c6d5">
      <Terms xmlns="http://schemas.microsoft.com/office/infopath/2007/PartnerControls"/>
    </lcf76f155ced4ddcb4097134ff3c332f>
    <TaxCatchAll xmlns="8001db4d-8f9c-4d3f-b105-b5310b0808bb" xsi:nil="true"/>
  </documentManagement>
</p:properties>
</file>

<file path=customXml/itemProps1.xml><?xml version="1.0" encoding="utf-8"?>
<ds:datastoreItem xmlns:ds="http://schemas.openxmlformats.org/officeDocument/2006/customXml" ds:itemID="{C816D4E0-0B30-4D6C-AEA7-D0150AAF4762}"/>
</file>

<file path=customXml/itemProps2.xml><?xml version="1.0" encoding="utf-8"?>
<ds:datastoreItem xmlns:ds="http://schemas.openxmlformats.org/officeDocument/2006/customXml" ds:itemID="{82AB9DD0-4AF2-443F-AEF8-4192EFE7D511}"/>
</file>

<file path=customXml/itemProps3.xml><?xml version="1.0" encoding="utf-8"?>
<ds:datastoreItem xmlns:ds="http://schemas.openxmlformats.org/officeDocument/2006/customXml" ds:itemID="{77E9E77E-9628-4208-9744-6407FA75E827}"/>
</file>

<file path=docMetadata/LabelInfo.xml><?xml version="1.0" encoding="utf-8"?>
<clbl:labelList xmlns:clbl="http://schemas.microsoft.com/office/2020/mipLabelMetadata">
  <clbl:label id="{98208406-c20e-48d7-a517-8606fa32557a}" enabled="1" method="Standard" siteId="{c6445630-e602-4993-a605-7e41f70338e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Chatchaphong Thanajitr-GPSC</dc:creator>
  <cp:keywords/>
  <dc:description/>
  <cp:lastModifiedBy>Phunthawat Rujipraparat-GPSC</cp:lastModifiedBy>
  <cp:revision/>
  <dcterms:created xsi:type="dcterms:W3CDTF">2025-07-03T00:49:27Z</dcterms:created>
  <dcterms:modified xsi:type="dcterms:W3CDTF">2025-12-17T03:11:08Z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0x0101007985EF041D732842A4B0D3D02D1D9BF8</vt:lpwstr>
  </property>
</Properties>
</file>